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in 2024" sheetId="1" r:id="rId5"/>
    <sheet state="visible" name="Feuille 1" sheetId="2" r:id="rId6"/>
    <sheet state="visible" name="Juillet 2024" sheetId="3" r:id="rId7"/>
    <sheet state="visible" name="Août 2024" sheetId="4" r:id="rId8"/>
    <sheet state="visible" name="Septembre 2024" sheetId="5" r:id="rId9"/>
    <sheet state="visible" name="Octobre 2024" sheetId="6" r:id="rId10"/>
    <sheet state="visible" name="Novembre 2024" sheetId="7" r:id="rId11"/>
    <sheet state="visible" name="Décembre 2024 " sheetId="8" r:id="rId12"/>
    <sheet state="visible" name="Janvier 2025" sheetId="9" r:id="rId13"/>
    <sheet state="visible" name="Février 2025" sheetId="10" r:id="rId14"/>
    <sheet state="visible" name="Mars 2025" sheetId="11" r:id="rId15"/>
    <sheet state="visible" name="Avril 2025" sheetId="12" r:id="rId16"/>
    <sheet state="visible" name="Mai 2025" sheetId="13" r:id="rId17"/>
    <sheet state="visible" name="Juillet 2025" sheetId="14" r:id="rId18"/>
    <sheet state="visible" name="Juin 2025" sheetId="15" r:id="rId19"/>
    <sheet state="visible" name="Août 2025" sheetId="16" r:id="rId20"/>
    <sheet state="visible" name="Septembre 2025" sheetId="17" r:id="rId21"/>
    <sheet state="visible" name="Octobre 2025" sheetId="18" r:id="rId22"/>
    <sheet state="visible" name="Novembre 2025" sheetId="19" r:id="rId23"/>
    <sheet state="visible" name="Décembre 2025" sheetId="20" r:id="rId24"/>
    <sheet state="visible" name="Janvier 2026" sheetId="21" r:id="rId25"/>
    <sheet state="visible" name="Février 2026" sheetId="22" r:id="rId26"/>
    <sheet state="visible" name="Mars 2026" sheetId="23" r:id="rId27"/>
    <sheet state="visible" name="Avril 2026" sheetId="24" r:id="rId28"/>
    <sheet state="visible" name="Mai 2026" sheetId="25" r:id="rId29"/>
    <sheet state="visible" name="Juin 2026" sheetId="26" r:id="rId30"/>
  </sheets>
  <definedNames>
    <definedName hidden="1" localSheetId="13" name="_xlnm._FilterDatabase">'Juillet 2025'!$I$69:$K$70</definedName>
  </definedNames>
  <calcPr/>
</workbook>
</file>

<file path=xl/sharedStrings.xml><?xml version="1.0" encoding="utf-8"?>
<sst xmlns="http://schemas.openxmlformats.org/spreadsheetml/2006/main" count="1864" uniqueCount="461">
  <si>
    <t>(10 Juin - 10 Juillet )</t>
  </si>
  <si>
    <t>RESSOURCES</t>
  </si>
  <si>
    <t>EPARGNES</t>
  </si>
  <si>
    <t>Montants</t>
  </si>
  <si>
    <t>Montant</t>
  </si>
  <si>
    <t xml:space="preserve">Compte Ben </t>
  </si>
  <si>
    <t>Salaire 1</t>
  </si>
  <si>
    <t>REVENUS DU TRAVAIL</t>
  </si>
  <si>
    <t>Salaire 2</t>
  </si>
  <si>
    <t>Salaire 3</t>
  </si>
  <si>
    <t>Compte Oli</t>
  </si>
  <si>
    <t>TOTAL</t>
  </si>
  <si>
    <t>TOTAL PROVISOIRE DANS LA CAISSE BEN &amp; OLI</t>
  </si>
  <si>
    <t>Billets de train</t>
  </si>
  <si>
    <t xml:space="preserve">Pizza </t>
  </si>
  <si>
    <t>Cadeau Honoré</t>
  </si>
  <si>
    <t>Taxi</t>
  </si>
  <si>
    <t>PARTAGE DES REVENUS</t>
  </si>
  <si>
    <t>Traduction de passeport Oliv</t>
  </si>
  <si>
    <t xml:space="preserve">( 10 Juin - 10 Juillet )  </t>
  </si>
  <si>
    <t>Consultation passeport Olivia</t>
  </si>
  <si>
    <t>Taxi aller au village</t>
  </si>
  <si>
    <r>
      <rPr>
        <rFont val="Times New Roman"/>
        <color theme="9"/>
        <sz val="14.0"/>
      </rPr>
      <t>✅/</t>
    </r>
    <r>
      <rPr>
        <rFont val="Times New Roman"/>
        <color rgb="FFFF0000"/>
        <sz val="14.0"/>
      </rPr>
      <t>❌</t>
    </r>
  </si>
  <si>
    <t>Taxi retour à Moscou</t>
  </si>
  <si>
    <t>Loyer</t>
  </si>
  <si>
    <t>✅</t>
  </si>
  <si>
    <t>Eau &amp; Courant</t>
  </si>
  <si>
    <t>Internet</t>
  </si>
  <si>
    <t>Total dépenses Olivia Juin</t>
  </si>
  <si>
    <t>Epargne Ben &amp; Oli</t>
  </si>
  <si>
    <t>Сhaussure et t-shirt</t>
  </si>
  <si>
    <t>Epargne Melvin</t>
  </si>
  <si>
    <t xml:space="preserve">Сadeaux pour les parents de André </t>
  </si>
  <si>
    <t>Alimentations</t>
  </si>
  <si>
    <t>Besoins Personnels</t>
  </si>
  <si>
    <t>Iphone 15 Pro Max</t>
  </si>
  <si>
    <t>Transport Ben</t>
  </si>
  <si>
    <t>Total dépenses Ben Juin</t>
  </si>
  <si>
    <t>Dépenses du mois de Juin</t>
  </si>
  <si>
    <t>TOTAL DANS LA CAISSE BEN &amp; OLI</t>
  </si>
  <si>
    <t>TOTAL DANS LA CAISSE OLI</t>
  </si>
  <si>
    <t xml:space="preserve">TOTAL DANS LA CAISSE BEN </t>
  </si>
  <si>
    <t>MELVIN</t>
  </si>
  <si>
    <t>TOTAL DANS LA CAISSE MELVIN</t>
  </si>
  <si>
    <t>(10 Juillet - 10 Août )</t>
  </si>
  <si>
    <r>
      <rPr>
        <rFont val="Times New Roman"/>
        <color theme="9"/>
        <sz val="14.0"/>
      </rPr>
      <t>✅/</t>
    </r>
    <r>
      <rPr>
        <rFont val="Times New Roman"/>
        <color rgb="FFFF0000"/>
        <sz val="14.0"/>
      </rPr>
      <t>❌</t>
    </r>
  </si>
  <si>
    <t>Total dépenses Olivia Juillet</t>
  </si>
  <si>
    <t xml:space="preserve"> Légalisation des documents en CI (1)</t>
  </si>
  <si>
    <t xml:space="preserve"> Légalisation des documents en CI (2)</t>
  </si>
  <si>
    <t>Procurations des documents</t>
  </si>
  <si>
    <t xml:space="preserve"> Gâteau offert à Sacha</t>
  </si>
  <si>
    <t>Envoie des documents au Pays</t>
  </si>
  <si>
    <t>KFC</t>
  </si>
  <si>
    <t xml:space="preserve"> Légalisation de l'acte de naissance de Olivia</t>
  </si>
  <si>
    <t>Total dépenses Ben Juillet</t>
  </si>
  <si>
    <t>Dépenses du mois de Juillet</t>
  </si>
  <si>
    <t>TOTAL DANS LA CAISSE BEN</t>
  </si>
  <si>
    <t>( 10 Août - 10 Septembre )</t>
  </si>
  <si>
    <t>Dépenses du mois de Jullet</t>
  </si>
  <si>
    <t>Shawarma</t>
  </si>
  <si>
    <t>Cadeau Vika</t>
  </si>
  <si>
    <t>Envoie de documents au pays</t>
  </si>
  <si>
    <t>Les courses au pays</t>
  </si>
  <si>
    <t>Crédit Luc</t>
  </si>
  <si>
    <t xml:space="preserve">Transports Emma1 </t>
  </si>
  <si>
    <t xml:space="preserve">Transports Emma2 </t>
  </si>
  <si>
    <r>
      <rPr>
        <rFont val="Times New Roman"/>
        <color theme="9"/>
        <sz val="14.0"/>
      </rPr>
      <t>✅/</t>
    </r>
    <r>
      <rPr>
        <rFont val="Times New Roman"/>
        <color rgb="FFFF0000"/>
        <sz val="14.0"/>
      </rPr>
      <t>❌</t>
    </r>
  </si>
  <si>
    <t>Credit Hector</t>
  </si>
  <si>
    <t>Doit à Olivia</t>
  </si>
  <si>
    <t>Total dépenses Olivia Août</t>
  </si>
  <si>
    <t>Compte bloqué</t>
  </si>
  <si>
    <t>Total dépenses Ben Août</t>
  </si>
  <si>
    <t>Dépenses du mois de Août</t>
  </si>
  <si>
    <t>( 10 Septembre - 10 Octobre )</t>
  </si>
  <si>
    <t>Crédit Maikl</t>
  </si>
  <si>
    <t>Traduction extrait de naissance</t>
  </si>
  <si>
    <t>Poissons</t>
  </si>
  <si>
    <t>Taxi livraison</t>
  </si>
  <si>
    <t>Traduction de passeport</t>
  </si>
  <si>
    <t>Pour la nationalité Russe</t>
  </si>
  <si>
    <t>Госпошлин</t>
  </si>
  <si>
    <r>
      <rPr>
        <rFont val="Times New Roman"/>
        <color theme="9"/>
        <sz val="14.0"/>
      </rPr>
      <t>✅/</t>
    </r>
    <r>
      <rPr>
        <rFont val="Times New Roman"/>
        <color rgb="FFFF0000"/>
        <sz val="14.0"/>
      </rPr>
      <t>❌</t>
    </r>
  </si>
  <si>
    <t>Photocopies</t>
  </si>
  <si>
    <t>Billet d'avion Olivia</t>
  </si>
  <si>
    <t>Traduction autorisation parentale</t>
  </si>
  <si>
    <t xml:space="preserve">Extrait de naissance Melvin </t>
  </si>
  <si>
    <t>Vaccins Olivia et Melvin</t>
  </si>
  <si>
    <t>Marché supplément</t>
  </si>
  <si>
    <t>Total dépenses Olivia Septembre</t>
  </si>
  <si>
    <t>Pour l'entreprise</t>
  </si>
  <si>
    <t>Scolarité Nadège</t>
  </si>
  <si>
    <t>Pour François</t>
  </si>
  <si>
    <t>Autorisation parentale</t>
  </si>
  <si>
    <t>Achat de souris pour Olivia</t>
  </si>
  <si>
    <t>Total dépenses Ben Septembre</t>
  </si>
  <si>
    <t>Dépenses du mois de Septembre</t>
  </si>
  <si>
    <t>Crédit</t>
  </si>
  <si>
    <t>( 10 Octobre - 10 Novembre )</t>
  </si>
  <si>
    <t>Dépenses du mois de Juin + Juillet + Août</t>
  </si>
  <si>
    <t>Epargnes</t>
  </si>
  <si>
    <r>
      <rPr>
        <rFont val="Times New Roman"/>
        <color theme="9"/>
        <sz val="14.0"/>
      </rPr>
      <t>✅/</t>
    </r>
    <r>
      <rPr>
        <rFont val="Times New Roman"/>
        <color rgb="FFFF0000"/>
        <sz val="14.0"/>
      </rPr>
      <t>❌</t>
    </r>
  </si>
  <si>
    <t>❌</t>
  </si>
  <si>
    <t>Total dépenses Olivia Octobre</t>
  </si>
  <si>
    <t>Kourtka</t>
  </si>
  <si>
    <t xml:space="preserve"> Nadège</t>
  </si>
  <si>
    <t>Credit Melvin</t>
  </si>
  <si>
    <t>Credit Ozon</t>
  </si>
  <si>
    <t>Total dépenses Ben Octobre</t>
  </si>
  <si>
    <t>Dépenses du mois de Octobre</t>
  </si>
  <si>
    <t xml:space="preserve"> remboursé</t>
  </si>
  <si>
    <t>( 10 Novembre - 10 Décembre )</t>
  </si>
  <si>
    <r>
      <rPr>
        <rFont val="Times New Roman"/>
        <color theme="9"/>
        <sz val="14.0"/>
      </rPr>
      <t>✅/</t>
    </r>
    <r>
      <rPr>
        <rFont val="Times New Roman"/>
        <color rgb="FFFF0000"/>
        <sz val="14.0"/>
      </rPr>
      <t>❌</t>
    </r>
  </si>
  <si>
    <t>Total dépenses Olivia Novembre</t>
  </si>
  <si>
    <t>Total dépenses Ben Novembre</t>
  </si>
  <si>
    <t>Dépenses du mois de Novembre</t>
  </si>
  <si>
    <t>( 10 Décembre  - 10 Janvier )</t>
  </si>
  <si>
    <r>
      <rPr>
        <rFont val="Times New Roman"/>
        <color theme="9"/>
        <sz val="14.0"/>
      </rPr>
      <t>✅/</t>
    </r>
    <r>
      <rPr>
        <rFont val="Times New Roman"/>
        <color rgb="FFFF0000"/>
        <sz val="14.0"/>
      </rPr>
      <t>❌</t>
    </r>
  </si>
  <si>
    <t>Total dépenses Olivia Décembre</t>
  </si>
  <si>
    <t>Total dépenses Ben Décembre</t>
  </si>
  <si>
    <t>Dépenses du mois de Décembre</t>
  </si>
  <si>
    <t>( 10 Janvier  - 10 Février )</t>
  </si>
  <si>
    <t>EPARGNES EN ROUBLES</t>
  </si>
  <si>
    <t>EPARGNES EN FCFA</t>
  </si>
  <si>
    <t>Dans le compte au mois de Décembre</t>
  </si>
  <si>
    <t>Epargne du mois Ben&amp;Oli</t>
  </si>
  <si>
    <t>Vente d'attieké</t>
  </si>
  <si>
    <t>Rembousement credit Ben</t>
  </si>
  <si>
    <t>Remboursement credit Hector</t>
  </si>
  <si>
    <t>DopeHair</t>
  </si>
  <si>
    <t>Montre Adama</t>
  </si>
  <si>
    <t>Anniv Sacha</t>
  </si>
  <si>
    <t>Montre Ben&amp;Oli</t>
  </si>
  <si>
    <t>Pour Melvin</t>
  </si>
  <si>
    <t>Surplement marché+Besoin</t>
  </si>
  <si>
    <t>Valise de Ben</t>
  </si>
  <si>
    <t xml:space="preserve">Alimentation + Besoin </t>
  </si>
  <si>
    <r>
      <rPr>
        <rFont val="Times New Roman"/>
        <color theme="9"/>
        <sz val="14.0"/>
      </rPr>
      <t>✅/</t>
    </r>
    <r>
      <rPr>
        <rFont val="Times New Roman"/>
        <color rgb="FFFF0000"/>
        <sz val="14.0"/>
      </rPr>
      <t>❌</t>
    </r>
  </si>
  <si>
    <t>Total dépenses Olivia Janvier</t>
  </si>
  <si>
    <t>Billet d'avion Ben</t>
  </si>
  <si>
    <t>Action de grace à Emma</t>
  </si>
  <si>
    <t>Chargeur PC Ben</t>
  </si>
  <si>
    <t>Action de grace à la femme de Fidèl</t>
  </si>
  <si>
    <t>Cadeau Steven</t>
  </si>
  <si>
    <t>Reparation PC</t>
  </si>
  <si>
    <t>Total dépenses Ben Janvier</t>
  </si>
  <si>
    <t>Dépenses du mois de Janvier</t>
  </si>
  <si>
    <t>( 10 Février  - 10 Mars )</t>
  </si>
  <si>
    <t>Dans le compte au mois de Janvier</t>
  </si>
  <si>
    <t xml:space="preserve"> </t>
  </si>
  <si>
    <t>Courses pour le départ de Ben 1</t>
  </si>
  <si>
    <t>Courses pour le départ de Ben 2</t>
  </si>
  <si>
    <t>Demande de travail à Mr André</t>
  </si>
  <si>
    <t>Achats tenue Ben et Sac</t>
  </si>
  <si>
    <t>Pour la correction de mon enquête</t>
  </si>
  <si>
    <t>Crédit à Meka</t>
  </si>
  <si>
    <t>Pour le business de friperie</t>
  </si>
  <si>
    <t>J'ai completé 1550 rub</t>
  </si>
  <si>
    <r>
      <rPr>
        <rFont val="Times New Roman"/>
        <color theme="9"/>
        <sz val="14.0"/>
      </rPr>
      <t>✅/</t>
    </r>
    <r>
      <rPr>
        <rFont val="Times New Roman"/>
        <color rgb="FFFF0000"/>
        <sz val="14.0"/>
      </rPr>
      <t>❌</t>
    </r>
  </si>
  <si>
    <t>Pour le business de friperies ( achat de mannequin)</t>
  </si>
  <si>
    <t>Couche Melvin</t>
  </si>
  <si>
    <t>Pizza</t>
  </si>
  <si>
    <t>Entrée dans la caisse</t>
  </si>
  <si>
    <t>Total dépenses Olivia Février</t>
  </si>
  <si>
    <t>Paiement de la dette sur OZON</t>
  </si>
  <si>
    <t>Depenses Ben</t>
  </si>
  <si>
    <t>Besoins Ben</t>
  </si>
  <si>
    <t>Total dépenses Ben Février</t>
  </si>
  <si>
    <t>Dépenses du mois de Février</t>
  </si>
  <si>
    <t>( 10 Mars - 10 Avril )</t>
  </si>
  <si>
    <t>Dans le compte au mois de Février</t>
  </si>
  <si>
    <t>Epargne du mois de Mars Ben&amp;Oli</t>
  </si>
  <si>
    <t>(22800 + 27.400)</t>
  </si>
  <si>
    <t>TOTAL DANS LE COMPTE D'EPARGNE BEN &amp; OLI</t>
  </si>
  <si>
    <t>REVENUS SUR EPARGNE</t>
  </si>
  <si>
    <t>Medicaments Melvin</t>
  </si>
  <si>
    <t>Couches Melvin</t>
  </si>
  <si>
    <t>Livres des enfants</t>
  </si>
  <si>
    <t>Argents des Enfants</t>
  </si>
  <si>
    <t>Cadeau anniv Vicka</t>
  </si>
  <si>
    <r>
      <rPr>
        <rFont val="Times New Roman"/>
        <color rgb="FF70AD47"/>
        <sz val="14.0"/>
      </rPr>
      <t>✅/</t>
    </r>
    <r>
      <rPr>
        <rFont val="Times New Roman"/>
        <color rgb="FFFF0000"/>
        <sz val="14.0"/>
      </rPr>
      <t>❌</t>
    </r>
  </si>
  <si>
    <t>Anniv Bergia</t>
  </si>
  <si>
    <t>Besoins Personnels Oli &amp; Melvin</t>
  </si>
  <si>
    <t>Total dépenses Olivia Mars</t>
  </si>
  <si>
    <t>Besoins Personnels Ben</t>
  </si>
  <si>
    <t>Dette OZON</t>
  </si>
  <si>
    <t>Total dépenses Ben Mars</t>
  </si>
  <si>
    <t>Dépenses du mois de Mars</t>
  </si>
  <si>
    <t>TOTAL DANS LA CAISSE BEN &amp; OLI (MARS)</t>
  </si>
  <si>
    <t>TOTAL DANS LE COMPTE D'EPARGNE BEN &amp; OLI (MARS)</t>
  </si>
  <si>
    <t>REVENUS SUR EPARGNE (MARS)</t>
  </si>
  <si>
    <t>( 10 Avril - 10 Mai )</t>
  </si>
  <si>
    <t>Dans le compte au mois de Mars</t>
  </si>
  <si>
    <t>Vente de télé</t>
  </si>
  <si>
    <t>Epargne du mois de Avril Ben&amp;Oli</t>
  </si>
  <si>
    <t xml:space="preserve">Epargne du mois d'Avril Ben&amp;Oli </t>
  </si>
  <si>
    <t>(21800 + 18200 )</t>
  </si>
  <si>
    <t>Anniversaire fille de Emmanuel</t>
  </si>
  <si>
    <t>Permis de conduire Ben</t>
  </si>
  <si>
    <t>Traduction de documents</t>
  </si>
  <si>
    <t>Rachebelle</t>
  </si>
  <si>
    <t>Axel</t>
  </si>
  <si>
    <r>
      <rPr>
        <rFont val="Times New Roman"/>
        <color rgb="FF70AD47"/>
        <sz val="14.0"/>
      </rPr>
      <t>✅/</t>
    </r>
    <r>
      <rPr>
        <rFont val="Times New Roman"/>
        <color rgb="FFFF0000"/>
        <sz val="14.0"/>
      </rPr>
      <t>❌</t>
    </r>
  </si>
  <si>
    <t>Total dépenses Olivia Avril</t>
  </si>
  <si>
    <t>Dette sur OZON</t>
  </si>
  <si>
    <t>Total dépenses Ben Avril</t>
  </si>
  <si>
    <t>Dépenses du mois de Avril</t>
  </si>
  <si>
    <t>TOTAL DANS LA CAISSE BEN &amp; OLI (AVRIL )</t>
  </si>
  <si>
    <t>TOTAL DANS LE COMPTE D'EPARGNE BEN &amp; OLI (AVRIL)</t>
  </si>
  <si>
    <t>REVENUS SUR EPARGNE (AVRIL)</t>
  </si>
  <si>
    <t>( 10 Mai - 10 Juin)</t>
  </si>
  <si>
    <t>Dans le compte au mois de Avril</t>
  </si>
  <si>
    <t>Epargne du mois de Mai Ben&amp;Oli</t>
  </si>
  <si>
    <t xml:space="preserve">Epargne du mois de Mai Ben&amp;Oli </t>
  </si>
  <si>
    <t>40000 +20000</t>
  </si>
  <si>
    <t>Voyage Issia</t>
  </si>
  <si>
    <t xml:space="preserve">Ecole Melvin </t>
  </si>
  <si>
    <t>Fils de Dima</t>
  </si>
  <si>
    <t>Epargne</t>
  </si>
  <si>
    <r>
      <rPr>
        <rFont val="Times New Roman"/>
        <color rgb="FF70AD47"/>
        <sz val="14.0"/>
      </rPr>
      <t>✅/</t>
    </r>
    <r>
      <rPr>
        <rFont val="Times New Roman"/>
        <color rgb="FFFF0000"/>
        <sz val="14.0"/>
      </rPr>
      <t>❌</t>
    </r>
  </si>
  <si>
    <t>Total dépenses Olivia Mai</t>
  </si>
  <si>
    <t>Permis de Conduire</t>
  </si>
  <si>
    <t>Total dépenses Ben Mai</t>
  </si>
  <si>
    <t>Dépenses du mois de Mai</t>
  </si>
  <si>
    <t>TOTAL DANS LA CAISSE BEN &amp; OLI (Mai)</t>
  </si>
  <si>
    <t>TOTAL DANS LE COMPTE D'EPARGNE BEN &amp; OLI (Mai)</t>
  </si>
  <si>
    <t>REVENUS SUR EPARGNE (Mai)</t>
  </si>
  <si>
    <t xml:space="preserve">Ciber </t>
  </si>
  <si>
    <t>Tinkoff</t>
  </si>
  <si>
    <t>Ciber</t>
  </si>
  <si>
    <t>( 10 Juillet - 10 Août )</t>
  </si>
  <si>
    <t>Dans le compte au mois de Juin</t>
  </si>
  <si>
    <t>Epargne du mois de Juillet Ben&amp;Oli</t>
  </si>
  <si>
    <t xml:space="preserve">Epargne du mois de Juillet Ben&amp;Oli </t>
  </si>
  <si>
    <t>(40.000+28.000)</t>
  </si>
  <si>
    <t>28000+21000</t>
  </si>
  <si>
    <t>Le marché pour venie en Russie</t>
  </si>
  <si>
    <t>Shopping Olivia</t>
  </si>
  <si>
    <t>Yves Rocher</t>
  </si>
  <si>
    <t>Shopping Ben&amp;Olivia</t>
  </si>
  <si>
    <t>Reception Hector&amp;Therese</t>
  </si>
  <si>
    <r>
      <rPr>
        <rFont val="Times New Roman"/>
        <color rgb="FF70AD47"/>
        <sz val="14.0"/>
      </rPr>
      <t>✅/</t>
    </r>
    <r>
      <rPr>
        <rFont val="Times New Roman"/>
        <color rgb="FFFF0000"/>
        <sz val="14.0"/>
      </rPr>
      <t>❌</t>
    </r>
  </si>
  <si>
    <t>Marché</t>
  </si>
  <si>
    <t>Couches</t>
  </si>
  <si>
    <t>Traductions documents</t>
  </si>
  <si>
    <t>Cadeau Rockia</t>
  </si>
  <si>
    <t>Taxi aéroport-maison Moscou</t>
  </si>
  <si>
    <t>Shopping Ben</t>
  </si>
  <si>
    <t>Epargne CBER</t>
  </si>
  <si>
    <t>Epargne Tinkoff</t>
  </si>
  <si>
    <t>La caisse doit</t>
  </si>
  <si>
    <t>TOTAL DANS LA CAISSE BEN &amp; OLI (Juillet)</t>
  </si>
  <si>
    <t>TOTAL DANS LE COMPTE D'EPARGNE BEN &amp; OLI (Juillet)</t>
  </si>
  <si>
    <t>REVENUS SUR EPARGNE (Juillet)</t>
  </si>
  <si>
    <t>CBer</t>
  </si>
  <si>
    <t>CBER</t>
  </si>
  <si>
    <t>( 10 Juin - 10 Juillet )</t>
  </si>
  <si>
    <t>Dans le compte au mois de Mai</t>
  </si>
  <si>
    <t>Epargne du mois de Juin Ben&amp;Oli</t>
  </si>
  <si>
    <t xml:space="preserve">Epargne du mois de Juin Ben&amp;Oli </t>
  </si>
  <si>
    <t>Anniv Jessica</t>
  </si>
  <si>
    <t xml:space="preserve">Colis Ben </t>
  </si>
  <si>
    <t>Taxi hopital</t>
  </si>
  <si>
    <r>
      <rPr>
        <rFont val="Times New Roman"/>
        <color rgb="FF70AD47"/>
        <sz val="14.0"/>
      </rPr>
      <t>✅/</t>
    </r>
    <r>
      <rPr>
        <rFont val="Times New Roman"/>
        <color rgb="FFFF0000"/>
        <sz val="14.0"/>
      </rPr>
      <t>❌</t>
    </r>
  </si>
  <si>
    <t>Dossier Ben</t>
  </si>
  <si>
    <t>TOTAL DANS LA CAISSE BEN &amp; OLI (Juin)</t>
  </si>
  <si>
    <t>TOTAL DANS LE COMPTE D'EPARGNE BEN &amp; OLI (Juin)</t>
  </si>
  <si>
    <t>REVENUS SUR EPARGNE (Juin)</t>
  </si>
  <si>
    <t>Dans le compte au mois de Juillet</t>
  </si>
  <si>
    <t>Epargne du mois de Août Ben&amp;Oli</t>
  </si>
  <si>
    <t xml:space="preserve">Epargne du mois de Août Ben&amp;Oli </t>
  </si>
  <si>
    <t>(40.000+31.000)</t>
  </si>
  <si>
    <t>Avance gateau d'anniv Oli</t>
  </si>
  <si>
    <t xml:space="preserve">Reservation du lieu d'anniv </t>
  </si>
  <si>
    <t>Vélo Melvin</t>
  </si>
  <si>
    <t>Cadeau Stiven et Jessica</t>
  </si>
  <si>
    <t>Café de Natacha</t>
  </si>
  <si>
    <r>
      <rPr>
        <rFont val="Times New Roman"/>
        <color rgb="FF70AD47"/>
        <sz val="14.0"/>
      </rPr>
      <t>✅/</t>
    </r>
    <r>
      <rPr>
        <rFont val="Times New Roman"/>
        <color rgb="FFFF0000"/>
        <sz val="14.0"/>
      </rPr>
      <t>❌</t>
    </r>
  </si>
  <si>
    <t>Taxi retour de chez les Bergia</t>
  </si>
  <si>
    <t>Jeu parc Melvin</t>
  </si>
  <si>
    <t>Anniv Oliv</t>
  </si>
  <si>
    <t xml:space="preserve">Total dépenses Olivia Août </t>
  </si>
  <si>
    <t>Taxi de chez les Adama</t>
  </si>
  <si>
    <t>Thés pour le pays</t>
  </si>
  <si>
    <t xml:space="preserve">Total dépenses Ben Août </t>
  </si>
  <si>
    <t xml:space="preserve">Dépenses du mois de Août </t>
  </si>
  <si>
    <t>TOTAL DANS LA CAISSE BEN &amp; OLI (Août )</t>
  </si>
  <si>
    <t>TOTAL DANS LE COMPTE D'EPARGNE BEN &amp; OLI (Août )</t>
  </si>
  <si>
    <t>REVENUS SUR EPARGNE (Août )</t>
  </si>
  <si>
    <t>Cber</t>
  </si>
  <si>
    <t>Dans la caisse</t>
  </si>
  <si>
    <t xml:space="preserve">Dans le compte au mois de Août </t>
  </si>
  <si>
    <t>Vente de kg Ben</t>
  </si>
  <si>
    <t>Epargne du mois de Septembre Ben&amp;Oli</t>
  </si>
  <si>
    <t xml:space="preserve">Epargne du mois de Septembre Ben&amp;Oli </t>
  </si>
  <si>
    <t>(40.000+20.000)</t>
  </si>
  <si>
    <t>Moto Melvin</t>
  </si>
  <si>
    <t>Baterrie pour la Moto de Melvin</t>
  </si>
  <si>
    <t>Taxi pour l'hopital</t>
  </si>
  <si>
    <t>Cadeau anniv de Olive</t>
  </si>
  <si>
    <t>Taxi retour de chez les Adama</t>
  </si>
  <si>
    <r>
      <rPr>
        <rFont val="Times New Roman"/>
        <color rgb="FF70AD47"/>
        <sz val="14.0"/>
      </rPr>
      <t>✅/</t>
    </r>
    <r>
      <rPr>
        <rFont val="Times New Roman"/>
        <color rgb="FFFF0000"/>
        <sz val="14.0"/>
      </rPr>
      <t>❌</t>
    </r>
  </si>
  <si>
    <t>Mdicaments Olivia</t>
  </si>
  <si>
    <t xml:space="preserve">Total dépenses Olivia Septembre </t>
  </si>
  <si>
    <t>Achat de cadeaux pour le pays</t>
  </si>
  <si>
    <t>Depenses personels</t>
  </si>
  <si>
    <t>Taxi+Emballage de colis</t>
  </si>
  <si>
    <t>Cours de Ben</t>
  </si>
  <si>
    <t xml:space="preserve">Total dépenses Ben Septembre </t>
  </si>
  <si>
    <t xml:space="preserve">Dépenses du mois de Septembre </t>
  </si>
  <si>
    <t>TOTAL DANS LA CAISSE BEN &amp; OLI (Septembre )</t>
  </si>
  <si>
    <t>TOTAL DANS LE COMPTE D'EPARGNE BEN &amp; OLI (Septembre )</t>
  </si>
  <si>
    <t>REVENUS SUR EPARGNE (Septembre )</t>
  </si>
  <si>
    <t>Dans le compte au mois de Septembre</t>
  </si>
  <si>
    <t xml:space="preserve">Dans le compte au mois de Septembre </t>
  </si>
  <si>
    <t>Epargne du mois d'Octobre Ben&amp;Oli</t>
  </si>
  <si>
    <t xml:space="preserve">Epargne du mois de Octobre Ben&amp;Oli </t>
  </si>
  <si>
    <t>(40.000+9000)</t>
  </si>
  <si>
    <t>Remboursement Phanuelle</t>
  </si>
  <si>
    <t>Remboursement Cours Ben</t>
  </si>
  <si>
    <t>Photocopie de documents</t>
  </si>
  <si>
    <t>Cadeau anniversaire Natacha</t>
  </si>
  <si>
    <r>
      <rPr>
        <rFont val="Times New Roman"/>
        <color rgb="FF70AD47"/>
        <sz val="14.0"/>
      </rPr>
      <t>✅/</t>
    </r>
    <r>
      <rPr>
        <rFont val="Times New Roman"/>
        <color rgb="FFFF0000"/>
        <sz val="14.0"/>
      </rPr>
      <t>❌</t>
    </r>
  </si>
  <si>
    <t>Achat de sac chez la femme de Adama</t>
  </si>
  <si>
    <t xml:space="preserve">Total dépenses Olivia Octobre </t>
  </si>
  <si>
    <t>Table Ben</t>
  </si>
  <si>
    <t>Credit Ordi Ben</t>
  </si>
  <si>
    <t>Epargne depart CI</t>
  </si>
  <si>
    <t xml:space="preserve">Total dépenses Ben Octobre </t>
  </si>
  <si>
    <t xml:space="preserve">Total dépenses Ben Octobre  </t>
  </si>
  <si>
    <t xml:space="preserve">Dépenses du mois de Octobre </t>
  </si>
  <si>
    <t>TOTAL DANS LA CAISSE BEN &amp; OLI (Octobre )</t>
  </si>
  <si>
    <t>TOTAL DANS LE COMPTE D'EPARGNE BEN &amp; OLI (Octobre )</t>
  </si>
  <si>
    <t>REVENUS SUR EPARGNE (Octobre )</t>
  </si>
  <si>
    <t>Dans le compte au mois de Octobre</t>
  </si>
  <si>
    <t>Epargne du mois de Novembre Ben&amp;Oli</t>
  </si>
  <si>
    <t xml:space="preserve">Epargne du mois de Novembre Ben&amp;Oli </t>
  </si>
  <si>
    <t>Credit Olivia</t>
  </si>
  <si>
    <t>Achat du billet d’avion de Ben</t>
  </si>
  <si>
    <r>
      <rPr>
        <rFont val="Times New Roman"/>
        <color rgb="FF70AD47"/>
        <sz val="14.0"/>
      </rPr>
      <t>✅/</t>
    </r>
    <r>
      <rPr>
        <rFont val="Times New Roman"/>
        <color rgb="FFFF0000"/>
        <sz val="14.0"/>
      </rPr>
      <t>❌</t>
    </r>
  </si>
  <si>
    <t>Pour arondir l'epargne</t>
  </si>
  <si>
    <t>Livre de Vika</t>
  </si>
  <si>
    <t>TOTAL DANS LA CAISSE BEN &amp; OLI (Novembre)</t>
  </si>
  <si>
    <t>La caisse doit 9000 à Ben</t>
  </si>
  <si>
    <t>TOTAL DANS LE COMPTE D'EPARGNE BEN &amp; OLI (Novembre)</t>
  </si>
  <si>
    <t>REVENUS SUR EPARGNE (Novembre)</t>
  </si>
  <si>
    <t>( 10 Décembre - 10 Janvier )</t>
  </si>
  <si>
    <t>Dans le compte au mois de Novembre</t>
  </si>
  <si>
    <t>Vente de kg</t>
  </si>
  <si>
    <t>Epargne du mois de Décembre Ben&amp;Oli</t>
  </si>
  <si>
    <t xml:space="preserve">Epargne du mois de Décembre Ben&amp;Oli </t>
  </si>
  <si>
    <t>Vente d'imprimante</t>
  </si>
  <si>
    <t>Remboursement credit Oli</t>
  </si>
  <si>
    <t>Cadeaux de fin d'année des adultes</t>
  </si>
  <si>
    <t>Cadeaux de fin d'année des enfantts</t>
  </si>
  <si>
    <t>Noel avec les Bergia</t>
  </si>
  <si>
    <t>Cadeau anniv de Sacha</t>
  </si>
  <si>
    <r>
      <rPr>
        <rFont val="Times New Roman"/>
        <color rgb="FF70AD47"/>
        <sz val="14.0"/>
      </rPr>
      <t>✅/</t>
    </r>
    <r>
      <rPr>
        <rFont val="Times New Roman"/>
        <color rgb="FFFF0000"/>
        <sz val="14.0"/>
      </rPr>
      <t>❌</t>
    </r>
  </si>
  <si>
    <t>Visites medicale</t>
  </si>
  <si>
    <t>Dépenses au pays</t>
  </si>
  <si>
    <t xml:space="preserve">Amende </t>
  </si>
  <si>
    <t>TOTAL DANS LA CAISSE BEN &amp; OLI (Décembre)</t>
  </si>
  <si>
    <t>( 10 Janvier - 10 Février )</t>
  </si>
  <si>
    <t xml:space="preserve">Compte </t>
  </si>
  <si>
    <t xml:space="preserve">Vente de KG </t>
  </si>
  <si>
    <t xml:space="preserve">Compte Epargne </t>
  </si>
  <si>
    <t>Epargne du mois de Janvier Ben&amp;Oli</t>
  </si>
  <si>
    <t xml:space="preserve">Epargne du mois de Janvier Ben&amp;Oli </t>
  </si>
  <si>
    <t>Remonte dans la maison</t>
  </si>
  <si>
    <t>Taxi de chez les Honoré</t>
  </si>
  <si>
    <t>Sac Ben</t>
  </si>
  <si>
    <t>Cadeau pour le pays</t>
  </si>
  <si>
    <r>
      <rPr>
        <rFont val="Times New Roman"/>
        <color rgb="FF70AD47"/>
        <sz val="14.0"/>
      </rPr>
      <t>✅/</t>
    </r>
    <r>
      <rPr>
        <rFont val="Times New Roman"/>
        <color rgb="FFFF0000"/>
        <sz val="14.0"/>
      </rPr>
      <t>❌</t>
    </r>
  </si>
  <si>
    <t>Taxi aéroport</t>
  </si>
  <si>
    <t>Isaac</t>
  </si>
  <si>
    <t>Credits à Ruth</t>
  </si>
  <si>
    <t>Achat billet d'avion Ben</t>
  </si>
  <si>
    <t xml:space="preserve">Achat billet d'avion Ben </t>
  </si>
  <si>
    <t>Procuration</t>
  </si>
  <si>
    <t>Légalisation passeport Ben</t>
  </si>
  <si>
    <t>Embalage baggages</t>
  </si>
  <si>
    <t>TOTAL DANS LA CAISSE BEN &amp; OLI (Janvier)</t>
  </si>
  <si>
    <t>TOTAL DANS LE COMPTE D'EPARGNE BEN &amp; OLI (Janvier)</t>
  </si>
  <si>
    <t>REVENUS SUR EPARGNE (Janvier)</t>
  </si>
  <si>
    <t>( 10 Février - 10 Mars )</t>
  </si>
  <si>
    <t>Epargne du mois de Février Ben&amp;Oli</t>
  </si>
  <si>
    <t xml:space="preserve">Epargne du mois de Février Ben&amp;Oli </t>
  </si>
  <si>
    <t>(20.000+9000)</t>
  </si>
  <si>
    <t>Cadeau anniversaire Melvin</t>
  </si>
  <si>
    <t>Remboursement credit Ruth</t>
  </si>
  <si>
    <t>Anniversaire Melvin</t>
  </si>
  <si>
    <t>Taxi aller-retour hôpital</t>
  </si>
  <si>
    <t>Taxi aller pour l’immigration</t>
  </si>
  <si>
    <t>Médicament Olivia</t>
  </si>
  <si>
    <r>
      <rPr>
        <rFont val="Times New Roman"/>
        <color rgb="FF70AD47"/>
        <sz val="14.0"/>
      </rPr>
      <t>✅/</t>
    </r>
    <r>
      <rPr>
        <rFont val="Times New Roman"/>
        <color rgb="FFFF0000"/>
        <sz val="14.0"/>
      </rPr>
      <t>❌</t>
    </r>
  </si>
  <si>
    <t>Therese</t>
  </si>
  <si>
    <t>Dossier de naturalisation Ben</t>
  </si>
  <si>
    <t>TOTAL DANS LA CAISSE BEN &amp; OLI (Février)</t>
  </si>
  <si>
    <t>TOTAL DANS LE COMPTE D'EPARGNE BEN &amp; OLI (Février)</t>
  </si>
  <si>
    <t>REVENUS SUR EPARGNE (Février)</t>
  </si>
  <si>
    <t>Conversion des économies en fcfa :</t>
  </si>
  <si>
    <t>Dans la caisse en FCFA</t>
  </si>
  <si>
    <t>TOTAL2</t>
  </si>
  <si>
    <t xml:space="preserve">TOTAL </t>
  </si>
  <si>
    <t>TOTAL1</t>
  </si>
  <si>
    <t xml:space="preserve">Dans le compte au mois de Février </t>
  </si>
  <si>
    <t>Olivia</t>
  </si>
  <si>
    <t xml:space="preserve">Epargne du mois de Mars Ben&amp;Oli </t>
  </si>
  <si>
    <t>Acte et extrait de mariage</t>
  </si>
  <si>
    <t>Naturalisation Ben</t>
  </si>
  <si>
    <t>Meka</t>
  </si>
  <si>
    <t>Thérèse</t>
  </si>
  <si>
    <t>Achats pour le bébé</t>
  </si>
  <si>
    <r>
      <rPr>
        <rFont val="Times New Roman"/>
        <color rgb="FF70AD47"/>
        <sz val="14.0"/>
      </rPr>
      <t>✅/</t>
    </r>
    <r>
      <rPr>
        <rFont val="Times New Roman"/>
        <color rgb="FFFF0000"/>
        <sz val="14.0"/>
      </rPr>
      <t>❌</t>
    </r>
  </si>
  <si>
    <t>TOTAL DANS LA CAISSE BEN &amp; OLI (Mars)</t>
  </si>
  <si>
    <t>TOTAL DANS LE COMPTE D'EPARGNE BEN &amp; OLI (Mars)</t>
  </si>
  <si>
    <t>REVENUS SUR EPARGNE (Mars)</t>
  </si>
  <si>
    <t>Conversion des économies :</t>
  </si>
  <si>
    <t xml:space="preserve">Conversion des économies en fcfa :        </t>
  </si>
  <si>
    <t>(439.000+230.000)</t>
  </si>
  <si>
    <t xml:space="preserve">Dans le compte au mois de Mars </t>
  </si>
  <si>
    <t xml:space="preserve">Epargne du mois de Avril Ben&amp;Oli </t>
  </si>
  <si>
    <t>Cadeau Vicka</t>
  </si>
  <si>
    <t>Cadeau Nora</t>
  </si>
  <si>
    <t>Commande hopital</t>
  </si>
  <si>
    <t>Medicaments</t>
  </si>
  <si>
    <r>
      <rPr>
        <rFont val="Times New Roman"/>
        <color rgb="FF70AD47"/>
        <sz val="14.0"/>
      </rPr>
      <t>✅/</t>
    </r>
    <r>
      <rPr>
        <rFont val="Times New Roman"/>
        <color rgb="FFFF0000"/>
        <sz val="14.0"/>
      </rPr>
      <t>❌</t>
    </r>
  </si>
  <si>
    <t>Total Taxi</t>
  </si>
  <si>
    <t>Total Marché</t>
  </si>
  <si>
    <t>Achats de farines de banane</t>
  </si>
  <si>
    <t>Dossier de rapel</t>
  </si>
  <si>
    <t>Certificat de non divorce</t>
  </si>
  <si>
    <t>doit 5000rub à Ben</t>
  </si>
  <si>
    <t>TOTAL DANS LA CAISSE BEN &amp; OLI (Avril)</t>
  </si>
  <si>
    <t>TOTAL DANS LE COMPTE D'EPARGNE BEN &amp; OLI (Avril)</t>
  </si>
  <si>
    <t>REVENUS SUR EPARGNE (Avril)</t>
  </si>
  <si>
    <t xml:space="preserve">Revenu sur epargne </t>
  </si>
  <si>
    <t>( 10 Mai - 10 Juin )</t>
  </si>
  <si>
    <t xml:space="preserve">Dans le compte au mois de Avril </t>
  </si>
  <si>
    <t>TOTAL 1</t>
  </si>
  <si>
    <t>Ssalaire du mois de Mai Ben</t>
  </si>
  <si>
    <t>TOTAL 2</t>
  </si>
  <si>
    <t>Remonte robinet</t>
  </si>
  <si>
    <t>Medicament Yvan</t>
  </si>
  <si>
    <t>Traduction extrait de naissance Yvan</t>
  </si>
  <si>
    <t>Photo</t>
  </si>
  <si>
    <t>RAVIP +cart consulaire</t>
  </si>
  <si>
    <r>
      <rPr>
        <rFont val="Times New Roman"/>
        <color rgb="FF70AD47"/>
        <sz val="14.0"/>
      </rPr>
      <t>✅/</t>
    </r>
    <r>
      <rPr>
        <rFont val="Times New Roman"/>
        <color rgb="FFFF0000"/>
        <sz val="14.0"/>
      </rPr>
      <t>❌</t>
    </r>
  </si>
  <si>
    <t>Pour la prochaine epargne</t>
  </si>
  <si>
    <t>remboursé à Ben</t>
  </si>
  <si>
    <t>Epargne Yvan</t>
  </si>
  <si>
    <t>Facture CIE et SODECI</t>
  </si>
  <si>
    <t>SALAIRE BEN</t>
  </si>
  <si>
    <t>TOTAL DANS LA CAISSE FCFA</t>
  </si>
  <si>
    <t xml:space="preserve">( 10 Mai - 10 Juin )
</t>
  </si>
  <si>
    <t>Yvan</t>
  </si>
  <si>
    <t>Chez Oli</t>
  </si>
  <si>
    <t>100 dollar en espèce chez Oli</t>
  </si>
  <si>
    <t>Chez Ben</t>
  </si>
  <si>
    <t>TOTAL DANS LA CAISSE YVAN</t>
  </si>
  <si>
    <t>Ssalaire du mois de Juin Ben</t>
  </si>
  <si>
    <r>
      <rPr>
        <rFont val="Times New Roman"/>
        <color rgb="FF70AD47"/>
        <sz val="14.0"/>
      </rPr>
      <t>✅/</t>
    </r>
    <r>
      <rPr>
        <rFont val="Times New Roman"/>
        <color rgb="FFFF0000"/>
        <sz val="14.0"/>
      </rPr>
      <t>❌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</si>
</sst>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\ &quot;₽&quot;"/>
    <numFmt numFmtId="165" formatCode="_-* #,##0.00\ [$XOF]_-;\-* #,##0.00\ [$XOF]_-;_-* &quot;-&quot;??\ [$XOF]_-;_-@"/>
    <numFmt numFmtId="166" formatCode="#,##0.00[$FCFA]"/>
    <numFmt numFmtId="167" formatCode="#,##0.00\ [$€-1]"/>
    <numFmt numFmtId="168" formatCode="d mmmm yyyy"/>
    <numFmt numFmtId="169" formatCode="#,##0.00[$ ₽]"/>
    <numFmt numFmtId="170" formatCode="#,##0[$FCFA]"/>
  </numFmts>
  <fonts count="14">
    <font>
      <sz val="11.0"/>
      <color theme="1"/>
      <name val="Calibri"/>
      <scheme val="minor"/>
    </font>
    <font>
      <sz val="14.0"/>
      <color theme="1"/>
      <name val="Times New Roman"/>
    </font>
    <font/>
    <font>
      <sz val="14.0"/>
      <color rgb="FFFF0000"/>
      <name val="Times New Roman"/>
    </font>
    <font>
      <sz val="14.0"/>
      <color theme="9"/>
      <name val="Times New Roman"/>
    </font>
    <font>
      <color theme="1"/>
      <name val="Calibri"/>
      <scheme val="minor"/>
    </font>
    <font>
      <i/>
      <sz val="14.0"/>
      <color theme="1"/>
      <name val="Times New Roman"/>
    </font>
    <font>
      <i/>
      <sz val="12.0"/>
      <color theme="1"/>
      <name val="Times New Roman"/>
    </font>
    <font>
      <sz val="14.0"/>
      <color rgb="FF548135"/>
      <name val="Times New Roman"/>
    </font>
    <font>
      <sz val="14.0"/>
      <color rgb="FF980000"/>
      <name val="Times New Roman"/>
    </font>
    <font>
      <sz val="14.0"/>
      <color rgb="FF70AD47"/>
      <name val="Times New Roman"/>
    </font>
    <font>
      <b/>
      <sz val="14.0"/>
      <color rgb="FF70AD47"/>
      <name val="Times New Roman"/>
    </font>
    <font>
      <b/>
      <sz val="14.0"/>
      <color theme="1"/>
      <name val="Times New Roman"/>
    </font>
    <font>
      <sz val="14.0"/>
      <color rgb="FF000000"/>
      <name val="Times New Roman"/>
    </font>
  </fonts>
  <fills count="21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</fills>
  <borders count="69">
    <border/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/>
      <bottom/>
    </border>
    <border>
      <top/>
      <bottom/>
    </border>
    <border>
      <right style="thick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/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/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/>
    </border>
    <border>
      <right/>
      <top style="thick">
        <color rgb="FF000000"/>
      </top>
      <bottom/>
    </border>
    <border>
      <left style="thick">
        <color rgb="FF000000"/>
      </left>
      <right/>
      <top style="thick">
        <color rgb="FF000000"/>
      </top>
      <bottom/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ck">
        <color rgb="FF000000"/>
      </left>
      <top/>
      <bottom style="thick">
        <color rgb="FF000000"/>
      </bottom>
    </border>
    <border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/>
      <top style="thick">
        <color rgb="FF000000"/>
      </top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/>
    </border>
    <border>
      <right/>
      <top style="thick">
        <color rgb="FF000000"/>
      </top>
    </border>
  </borders>
  <cellStyleXfs count="1">
    <xf borderId="0" fillId="0" fontId="0" numFmtId="0" applyAlignment="1" applyFont="1"/>
  </cellStyleXfs>
  <cellXfs count="33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164" xfId="0" applyBorder="1" applyFont="1" applyNumberFormat="1"/>
    <xf borderId="5" fillId="0" fontId="1" numFmtId="164" xfId="0" applyBorder="1" applyFont="1" applyNumberFormat="1"/>
    <xf borderId="0" fillId="0" fontId="1" numFmtId="164" xfId="0" applyFont="1" applyNumberFormat="1"/>
    <xf borderId="6" fillId="3" fontId="1" numFmtId="164" xfId="0" applyAlignment="1" applyBorder="1" applyFill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7" fillId="0" fontId="1" numFmtId="164" xfId="0" applyAlignment="1" applyBorder="1" applyFont="1" applyNumberFormat="1">
      <alignment horizontal="center"/>
    </xf>
    <xf borderId="8" fillId="0" fontId="2" numFmtId="0" xfId="0" applyBorder="1" applyFont="1"/>
    <xf borderId="9" fillId="0" fontId="1" numFmtId="164" xfId="0" applyBorder="1" applyFont="1" applyNumberFormat="1"/>
    <xf borderId="10" fillId="0" fontId="1" numFmtId="164" xfId="0" applyBorder="1" applyFont="1" applyNumberFormat="1"/>
    <xf borderId="11" fillId="0" fontId="1" numFmtId="164" xfId="0" applyBorder="1" applyFont="1" applyNumberFormat="1"/>
    <xf borderId="12" fillId="3" fontId="1" numFmtId="164" xfId="0" applyAlignment="1" applyBorder="1" applyFont="1" applyNumberFormat="1">
      <alignment horizontal="center"/>
    </xf>
    <xf borderId="13" fillId="0" fontId="2" numFmtId="0" xfId="0" applyBorder="1" applyFont="1"/>
    <xf borderId="14" fillId="0" fontId="2" numFmtId="0" xfId="0" applyBorder="1" applyFont="1"/>
    <xf borderId="15" fillId="0" fontId="1" numFmtId="164" xfId="0" applyBorder="1" applyFont="1" applyNumberFormat="1"/>
    <xf borderId="16" fillId="0" fontId="1" numFmtId="164" xfId="0" applyBorder="1" applyFont="1" applyNumberFormat="1"/>
    <xf borderId="17" fillId="0" fontId="1" numFmtId="164" xfId="0" applyBorder="1" applyFont="1" applyNumberFormat="1"/>
    <xf borderId="18" fillId="0" fontId="1" numFmtId="164" xfId="0" applyBorder="1" applyFont="1" applyNumberFormat="1"/>
    <xf borderId="19" fillId="0" fontId="1" numFmtId="164" xfId="0" applyBorder="1" applyFont="1" applyNumberFormat="1"/>
    <xf borderId="20" fillId="0" fontId="1" numFmtId="164" xfId="0" applyBorder="1" applyFont="1" applyNumberFormat="1"/>
    <xf borderId="21" fillId="0" fontId="1" numFmtId="164" xfId="0" applyBorder="1" applyFont="1" applyNumberFormat="1"/>
    <xf borderId="22" fillId="0" fontId="1" numFmtId="164" xfId="0" applyBorder="1" applyFont="1" applyNumberFormat="1"/>
    <xf borderId="23" fillId="0" fontId="1" numFmtId="164" xfId="0" applyBorder="1" applyFont="1" applyNumberFormat="1"/>
    <xf borderId="24" fillId="0" fontId="1" numFmtId="164" xfId="0" applyBorder="1" applyFont="1" applyNumberFormat="1"/>
    <xf borderId="25" fillId="0" fontId="1" numFmtId="164" xfId="0" applyBorder="1" applyFont="1" applyNumberFormat="1"/>
    <xf borderId="26" fillId="3" fontId="1" numFmtId="164" xfId="0" applyAlignment="1" applyBorder="1" applyFont="1" applyNumberFormat="1">
      <alignment horizontal="center"/>
    </xf>
    <xf borderId="27" fillId="0" fontId="2" numFmtId="0" xfId="0" applyBorder="1" applyFont="1"/>
    <xf borderId="28" fillId="0" fontId="2" numFmtId="0" xfId="0" applyBorder="1" applyFont="1"/>
    <xf borderId="29" fillId="0" fontId="1" numFmtId="164" xfId="0" applyBorder="1" applyFont="1" applyNumberFormat="1"/>
    <xf borderId="30" fillId="4" fontId="1" numFmtId="164" xfId="0" applyAlignment="1" applyBorder="1" applyFill="1" applyFont="1" applyNumberFormat="1">
      <alignment horizontal="center"/>
    </xf>
    <xf borderId="31" fillId="0" fontId="2" numFmtId="0" xfId="0" applyBorder="1" applyFont="1"/>
    <xf borderId="32" fillId="4" fontId="1" numFmtId="164" xfId="0" applyBorder="1" applyFont="1" applyNumberFormat="1"/>
    <xf borderId="33" fillId="0" fontId="1" numFmtId="164" xfId="0" applyBorder="1" applyFont="1" applyNumberFormat="1"/>
    <xf borderId="30" fillId="5" fontId="1" numFmtId="164" xfId="0" applyAlignment="1" applyBorder="1" applyFill="1" applyFont="1" applyNumberFormat="1">
      <alignment horizontal="center"/>
    </xf>
    <xf borderId="34" fillId="0" fontId="2" numFmtId="0" xfId="0" applyBorder="1" applyFont="1"/>
    <xf borderId="35" fillId="0" fontId="2" numFmtId="0" xfId="0" applyBorder="1" applyFont="1"/>
    <xf borderId="24" fillId="5" fontId="1" numFmtId="164" xfId="0" applyBorder="1" applyFont="1" applyNumberFormat="1"/>
    <xf borderId="36" fillId="0" fontId="1" numFmtId="164" xfId="0" applyBorder="1" applyFont="1" applyNumberFormat="1"/>
    <xf borderId="37" fillId="0" fontId="1" numFmtId="164" xfId="0" applyBorder="1" applyFont="1" applyNumberFormat="1"/>
    <xf borderId="6" fillId="3" fontId="1" numFmtId="164" xfId="0" applyBorder="1" applyFont="1" applyNumberFormat="1"/>
    <xf borderId="38" fillId="0" fontId="3" numFmtId="164" xfId="0" applyAlignment="1" applyBorder="1" applyFont="1" applyNumberFormat="1">
      <alignment horizontal="center"/>
    </xf>
    <xf borderId="38" fillId="0" fontId="1" numFmtId="164" xfId="0" applyBorder="1" applyFont="1" applyNumberFormat="1"/>
    <xf borderId="38" fillId="0" fontId="4" numFmtId="164" xfId="0" applyAlignment="1" applyBorder="1" applyFont="1" applyNumberFormat="1">
      <alignment horizontal="center"/>
    </xf>
    <xf borderId="21" fillId="0" fontId="2" numFmtId="0" xfId="0" applyBorder="1" applyFont="1"/>
    <xf borderId="39" fillId="0" fontId="1" numFmtId="164" xfId="0" applyBorder="1" applyFont="1" applyNumberFormat="1"/>
    <xf borderId="30" fillId="6" fontId="1" numFmtId="164" xfId="0" applyBorder="1" applyFill="1" applyFont="1" applyNumberFormat="1"/>
    <xf borderId="40" fillId="6" fontId="1" numFmtId="164" xfId="0" applyBorder="1" applyFont="1" applyNumberFormat="1"/>
    <xf borderId="20" fillId="0" fontId="1" numFmtId="164" xfId="0" applyAlignment="1" applyBorder="1" applyFont="1" applyNumberFormat="1">
      <alignment horizontal="left"/>
    </xf>
    <xf borderId="41" fillId="0" fontId="1" numFmtId="164" xfId="0" applyBorder="1" applyFont="1" applyNumberFormat="1"/>
    <xf borderId="42" fillId="0" fontId="1" numFmtId="164" xfId="0" applyBorder="1" applyFont="1" applyNumberFormat="1"/>
    <xf borderId="43" fillId="4" fontId="1" numFmtId="164" xfId="0" applyAlignment="1" applyBorder="1" applyFont="1" applyNumberFormat="1">
      <alignment horizontal="center"/>
    </xf>
    <xf borderId="44" fillId="4" fontId="1" numFmtId="164" xfId="0" applyAlignment="1" applyBorder="1" applyFont="1" applyNumberFormat="1">
      <alignment horizontal="center"/>
    </xf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49" fillId="6" fontId="1" numFmtId="164" xfId="0" applyAlignment="1" applyBorder="1" applyFont="1" applyNumberFormat="1">
      <alignment horizontal="left"/>
    </xf>
    <xf borderId="50" fillId="0" fontId="2" numFmtId="0" xfId="0" applyBorder="1" applyFont="1"/>
    <xf borderId="51" fillId="6" fontId="1" numFmtId="164" xfId="0" applyBorder="1" applyFont="1" applyNumberFormat="1"/>
    <xf borderId="52" fillId="0" fontId="1" numFmtId="164" xfId="0" applyBorder="1" applyFont="1" applyNumberFormat="1"/>
    <xf borderId="30" fillId="7" fontId="1" numFmtId="164" xfId="0" applyBorder="1" applyFill="1" applyFont="1" applyNumberFormat="1"/>
    <xf borderId="53" fillId="7" fontId="1" numFmtId="164" xfId="0" applyBorder="1" applyFont="1" applyNumberFormat="1"/>
    <xf borderId="30" fillId="8" fontId="1" numFmtId="164" xfId="0" applyAlignment="1" applyBorder="1" applyFill="1" applyFont="1" applyNumberFormat="1">
      <alignment horizontal="left"/>
    </xf>
    <xf borderId="24" fillId="8" fontId="1" numFmtId="164" xfId="0" applyBorder="1" applyFont="1" applyNumberFormat="1"/>
    <xf borderId="30" fillId="9" fontId="1" numFmtId="164" xfId="0" applyBorder="1" applyFill="1" applyFont="1" applyNumberFormat="1"/>
    <xf borderId="24" fillId="9" fontId="1" numFmtId="164" xfId="0" applyBorder="1" applyFont="1" applyNumberFormat="1"/>
    <xf borderId="54" fillId="0" fontId="1" numFmtId="164" xfId="0" applyAlignment="1" applyBorder="1" applyFont="1" applyNumberFormat="1">
      <alignment horizontal="center"/>
    </xf>
    <xf borderId="25" fillId="0" fontId="2" numFmtId="0" xfId="0" applyBorder="1" applyFont="1"/>
    <xf borderId="55" fillId="3" fontId="1" numFmtId="164" xfId="0" applyAlignment="1" applyBorder="1" applyFont="1" applyNumberFormat="1">
      <alignment horizontal="center"/>
    </xf>
    <xf borderId="56" fillId="0" fontId="2" numFmtId="0" xfId="0" applyBorder="1" applyFont="1"/>
    <xf borderId="30" fillId="0" fontId="1" numFmtId="164" xfId="0" applyAlignment="1" applyBorder="1" applyFont="1" applyNumberFormat="1">
      <alignment horizontal="center"/>
    </xf>
    <xf borderId="0" fillId="0" fontId="5" numFmtId="0" xfId="0" applyFont="1"/>
    <xf borderId="57" fillId="7" fontId="1" numFmtId="164" xfId="0" applyAlignment="1" applyBorder="1" applyFont="1" applyNumberFormat="1">
      <alignment horizontal="left"/>
    </xf>
    <xf borderId="58" fillId="0" fontId="2" numFmtId="0" xfId="0" applyBorder="1" applyFont="1"/>
    <xf borderId="59" fillId="0" fontId="2" numFmtId="0" xfId="0" applyBorder="1" applyFont="1"/>
    <xf borderId="0" fillId="0" fontId="6" numFmtId="164" xfId="0" applyFont="1" applyNumberFormat="1"/>
    <xf borderId="30" fillId="7" fontId="1" numFmtId="164" xfId="0" applyAlignment="1" applyBorder="1" applyFont="1" applyNumberFormat="1">
      <alignment horizontal="left"/>
    </xf>
    <xf borderId="60" fillId="0" fontId="1" numFmtId="164" xfId="0" applyBorder="1" applyFont="1" applyNumberFormat="1"/>
    <xf borderId="20" fillId="0" fontId="1" numFmtId="164" xfId="0" applyAlignment="1" applyBorder="1" applyFont="1" applyNumberFormat="1">
      <alignment horizontal="center"/>
    </xf>
    <xf borderId="24" fillId="6" fontId="1" numFmtId="164" xfId="0" applyBorder="1" applyFont="1" applyNumberFormat="1"/>
    <xf borderId="24" fillId="7" fontId="1" numFmtId="164" xfId="0" applyBorder="1" applyFont="1" applyNumberFormat="1"/>
    <xf borderId="61" fillId="0" fontId="2" numFmtId="0" xfId="0" applyBorder="1" applyFont="1"/>
    <xf borderId="33" fillId="0" fontId="1" numFmtId="164" xfId="0" applyAlignment="1" applyBorder="1" applyFont="1" applyNumberFormat="1">
      <alignment horizontal="center"/>
    </xf>
    <xf borderId="33" fillId="0" fontId="2" numFmtId="0" xfId="0" applyBorder="1" applyFont="1"/>
    <xf borderId="10" fillId="0" fontId="3" numFmtId="164" xfId="0" applyBorder="1" applyFont="1" applyNumberFormat="1"/>
    <xf borderId="16" fillId="0" fontId="1" numFmtId="164" xfId="0" applyAlignment="1" applyBorder="1" applyFont="1" applyNumberFormat="1">
      <alignment horizontal="right" vertical="center"/>
    </xf>
    <xf borderId="19" fillId="0" fontId="2" numFmtId="0" xfId="0" applyBorder="1" applyFont="1"/>
    <xf borderId="29" fillId="0" fontId="2" numFmtId="0" xfId="0" applyBorder="1" applyFont="1"/>
    <xf borderId="0" fillId="0" fontId="7" numFmtId="164" xfId="0" applyFont="1" applyNumberFormat="1"/>
    <xf borderId="0" fillId="0" fontId="7" numFmtId="0" xfId="0" applyFont="1"/>
    <xf borderId="38" fillId="0" fontId="8" numFmtId="164" xfId="0" applyAlignment="1" applyBorder="1" applyFont="1" applyNumberFormat="1">
      <alignment horizontal="center"/>
    </xf>
    <xf borderId="7" fillId="0" fontId="1" numFmtId="165" xfId="0" applyAlignment="1" applyBorder="1" applyFont="1" applyNumberFormat="1">
      <alignment horizontal="center"/>
    </xf>
    <xf borderId="9" fillId="0" fontId="1" numFmtId="165" xfId="0" applyBorder="1" applyFont="1" applyNumberFormat="1"/>
    <xf borderId="0" fillId="0" fontId="1" numFmtId="165" xfId="0" applyFont="1" applyNumberFormat="1"/>
    <xf borderId="12" fillId="3" fontId="1" numFmtId="165" xfId="0" applyAlignment="1" applyBorder="1" applyFont="1" applyNumberFormat="1">
      <alignment horizontal="center"/>
    </xf>
    <xf borderId="4" fillId="0" fontId="2" numFmtId="0" xfId="0" applyBorder="1" applyFont="1"/>
    <xf borderId="17" fillId="0" fontId="1" numFmtId="165" xfId="0" applyBorder="1" applyFont="1" applyNumberFormat="1"/>
    <xf borderId="18" fillId="0" fontId="1" numFmtId="165" xfId="0" applyBorder="1" applyFont="1" applyNumberFormat="1"/>
    <xf borderId="20" fillId="0" fontId="1" numFmtId="165" xfId="0" applyBorder="1" applyFont="1" applyNumberFormat="1"/>
    <xf borderId="21" fillId="0" fontId="1" numFmtId="165" xfId="0" applyBorder="1" applyFont="1" applyNumberFormat="1"/>
    <xf borderId="62" fillId="0" fontId="1" numFmtId="164" xfId="0" applyBorder="1" applyFont="1" applyNumberFormat="1"/>
    <xf borderId="63" fillId="0" fontId="2" numFmtId="0" xfId="0" applyBorder="1" applyFont="1"/>
    <xf borderId="62" fillId="0" fontId="1" numFmtId="165" xfId="0" applyBorder="1" applyFont="1" applyNumberFormat="1"/>
    <xf borderId="24" fillId="0" fontId="1" numFmtId="165" xfId="0" applyBorder="1" applyFont="1" applyNumberFormat="1"/>
    <xf borderId="26" fillId="3" fontId="1" numFmtId="165" xfId="0" applyAlignment="1" applyBorder="1" applyFont="1" applyNumberFormat="1">
      <alignment horizontal="center"/>
    </xf>
    <xf borderId="57" fillId="7" fontId="1" numFmtId="165" xfId="0" applyAlignment="1" applyBorder="1" applyFont="1" applyNumberFormat="1">
      <alignment horizontal="left"/>
    </xf>
    <xf borderId="53" fillId="7" fontId="1" numFmtId="165" xfId="0" applyBorder="1" applyFont="1" applyNumberFormat="1"/>
    <xf borderId="30" fillId="7" fontId="1" numFmtId="165" xfId="0" applyBorder="1" applyFont="1" applyNumberFormat="1"/>
    <xf borderId="30" fillId="7" fontId="1" numFmtId="165" xfId="0" applyAlignment="1" applyBorder="1" applyFont="1" applyNumberFormat="1">
      <alignment horizontal="left"/>
    </xf>
    <xf borderId="24" fillId="7" fontId="1" numFmtId="165" xfId="0" applyBorder="1" applyFont="1" applyNumberFormat="1"/>
    <xf borderId="30" fillId="5" fontId="1" numFmtId="165" xfId="0" applyAlignment="1" applyBorder="1" applyFont="1" applyNumberFormat="1">
      <alignment horizontal="center"/>
    </xf>
    <xf borderId="24" fillId="5" fontId="1" numFmtId="165" xfId="0" applyBorder="1" applyFont="1" applyNumberFormat="1"/>
    <xf borderId="36" fillId="0" fontId="1" numFmtId="165" xfId="0" applyBorder="1" applyFont="1" applyNumberFormat="1"/>
    <xf borderId="37" fillId="0" fontId="1" numFmtId="165" xfId="0" applyBorder="1" applyFont="1" applyNumberFormat="1"/>
    <xf borderId="20" fillId="0" fontId="1" numFmtId="165" xfId="0" applyAlignment="1" applyBorder="1" applyFont="1" applyNumberFormat="1">
      <alignment horizontal="left"/>
    </xf>
    <xf borderId="39" fillId="0" fontId="1" numFmtId="165" xfId="0" applyBorder="1" applyFont="1" applyNumberFormat="1"/>
    <xf borderId="30" fillId="6" fontId="1" numFmtId="165" xfId="0" applyBorder="1" applyFont="1" applyNumberFormat="1"/>
    <xf borderId="40" fillId="6" fontId="1" numFmtId="165" xfId="0" applyBorder="1" applyFont="1" applyNumberFormat="1"/>
    <xf borderId="41" fillId="0" fontId="1" numFmtId="165" xfId="0" applyBorder="1" applyFont="1" applyNumberFormat="1"/>
    <xf borderId="60" fillId="0" fontId="1" numFmtId="165" xfId="0" applyBorder="1" applyFont="1" applyNumberFormat="1"/>
    <xf borderId="20" fillId="0" fontId="1" numFmtId="165" xfId="0" applyAlignment="1" applyBorder="1" applyFont="1" applyNumberFormat="1">
      <alignment horizontal="center"/>
    </xf>
    <xf borderId="49" fillId="6" fontId="1" numFmtId="165" xfId="0" applyAlignment="1" applyBorder="1" applyFont="1" applyNumberFormat="1">
      <alignment horizontal="left"/>
    </xf>
    <xf borderId="24" fillId="6" fontId="1" numFmtId="165" xfId="0" applyBorder="1" applyFont="1" applyNumberFormat="1"/>
    <xf borderId="30" fillId="8" fontId="1" numFmtId="165" xfId="0" applyAlignment="1" applyBorder="1" applyFont="1" applyNumberFormat="1">
      <alignment horizontal="left"/>
    </xf>
    <xf borderId="30" fillId="9" fontId="1" numFmtId="165" xfId="0" applyBorder="1" applyFont="1" applyNumberFormat="1"/>
    <xf borderId="24" fillId="9" fontId="1" numFmtId="165" xfId="0" applyBorder="1" applyFont="1" applyNumberFormat="1"/>
    <xf borderId="6" fillId="3" fontId="1" numFmtId="165" xfId="0" applyAlignment="1" applyBorder="1" applyFont="1" applyNumberFormat="1">
      <alignment horizontal="center"/>
    </xf>
    <xf borderId="21" fillId="0" fontId="9" numFmtId="164" xfId="0" applyAlignment="1" applyBorder="1" applyFont="1" applyNumberFormat="1">
      <alignment readingOrder="0"/>
    </xf>
    <xf borderId="0" fillId="0" fontId="1" numFmtId="164" xfId="0" applyAlignment="1" applyFont="1" applyNumberFormat="1">
      <alignment readingOrder="0"/>
    </xf>
    <xf borderId="20" fillId="0" fontId="1" numFmtId="164" xfId="0" applyAlignment="1" applyBorder="1" applyFont="1" applyNumberFormat="1">
      <alignment readingOrder="0"/>
    </xf>
    <xf borderId="36" fillId="0" fontId="1" numFmtId="164" xfId="0" applyAlignment="1" applyBorder="1" applyFont="1" applyNumberFormat="1">
      <alignment readingOrder="0"/>
    </xf>
    <xf borderId="37" fillId="0" fontId="1" numFmtId="164" xfId="0" applyAlignment="1" applyBorder="1" applyFont="1" applyNumberFormat="1">
      <alignment readingOrder="0"/>
    </xf>
    <xf borderId="20" fillId="0" fontId="1" numFmtId="164" xfId="0" applyAlignment="1" applyBorder="1" applyFont="1" applyNumberFormat="1">
      <alignment horizontal="left" readingOrder="0"/>
    </xf>
    <xf borderId="41" fillId="0" fontId="1" numFmtId="164" xfId="0" applyAlignment="1" applyBorder="1" applyFont="1" applyNumberFormat="1">
      <alignment readingOrder="0"/>
    </xf>
    <xf borderId="20" fillId="0" fontId="1" numFmtId="165" xfId="0" applyAlignment="1" applyBorder="1" applyFont="1" applyNumberFormat="1">
      <alignment horizontal="left" readingOrder="0"/>
    </xf>
    <xf borderId="41" fillId="0" fontId="1" numFmtId="165" xfId="0" applyAlignment="1" applyBorder="1" applyFont="1" applyNumberFormat="1">
      <alignment readingOrder="0"/>
    </xf>
    <xf borderId="1" fillId="2" fontId="1" numFmtId="164" xfId="0" applyAlignment="1" applyBorder="1" applyFont="1" applyNumberFormat="1">
      <alignment horizontal="center" readingOrder="0"/>
    </xf>
    <xf borderId="7" fillId="0" fontId="1" numFmtId="164" xfId="0" applyAlignment="1" applyBorder="1" applyFont="1" applyNumberFormat="1">
      <alignment horizontal="center" readingOrder="0"/>
    </xf>
    <xf borderId="7" fillId="0" fontId="1" numFmtId="165" xfId="0" applyAlignment="1" applyBorder="1" applyFont="1" applyNumberFormat="1">
      <alignment horizontal="center" readingOrder="0"/>
    </xf>
    <xf borderId="16" fillId="0" fontId="1" numFmtId="164" xfId="0" applyAlignment="1" applyBorder="1" applyFont="1" applyNumberFormat="1">
      <alignment readingOrder="0"/>
    </xf>
    <xf borderId="17" fillId="0" fontId="1" numFmtId="164" xfId="0" applyAlignment="1" applyBorder="1" applyFont="1" applyNumberFormat="1">
      <alignment readingOrder="0"/>
    </xf>
    <xf borderId="18" fillId="0" fontId="1" numFmtId="164" xfId="0" applyAlignment="1" applyBorder="1" applyFont="1" applyNumberFormat="1">
      <alignment readingOrder="0"/>
    </xf>
    <xf borderId="17" fillId="0" fontId="1" numFmtId="165" xfId="0" applyAlignment="1" applyBorder="1" applyFont="1" applyNumberFormat="1">
      <alignment readingOrder="0"/>
    </xf>
    <xf borderId="21" fillId="0" fontId="1" numFmtId="164" xfId="0" applyAlignment="1" applyBorder="1" applyFont="1" applyNumberFormat="1">
      <alignment readingOrder="0"/>
    </xf>
    <xf borderId="64" fillId="5" fontId="1" numFmtId="164" xfId="0" applyAlignment="1" applyBorder="1" applyFont="1" applyNumberFormat="1">
      <alignment horizontal="center"/>
    </xf>
    <xf borderId="43" fillId="5" fontId="1" numFmtId="164" xfId="0" applyBorder="1" applyFont="1" applyNumberFormat="1"/>
    <xf borderId="30" fillId="10" fontId="1" numFmtId="164" xfId="0" applyAlignment="1" applyBorder="1" applyFill="1" applyFont="1" applyNumberFormat="1">
      <alignment horizontal="center" readingOrder="0"/>
    </xf>
    <xf borderId="35" fillId="10" fontId="1" numFmtId="164" xfId="0" applyAlignment="1" applyBorder="1" applyFont="1" applyNumberFormat="1">
      <alignment readingOrder="0"/>
    </xf>
    <xf borderId="30" fillId="11" fontId="1" numFmtId="164" xfId="0" applyAlignment="1" applyBorder="1" applyFill="1" applyFont="1" applyNumberFormat="1">
      <alignment horizontal="center" readingOrder="0"/>
    </xf>
    <xf borderId="35" fillId="11" fontId="1" numFmtId="164" xfId="0" applyBorder="1" applyFont="1" applyNumberFormat="1"/>
    <xf borderId="0" fillId="0" fontId="1" numFmtId="164" xfId="0" applyAlignment="1" applyFont="1" applyNumberFormat="1">
      <alignment horizontal="center" readingOrder="0"/>
    </xf>
    <xf borderId="38" fillId="0" fontId="3" numFmtId="164" xfId="0" applyAlignment="1" applyBorder="1" applyFont="1" applyNumberFormat="1">
      <alignment horizontal="center" readingOrder="0"/>
    </xf>
    <xf borderId="38" fillId="0" fontId="10" numFmtId="164" xfId="0" applyAlignment="1" applyBorder="1" applyFont="1" applyNumberFormat="1">
      <alignment horizontal="center" readingOrder="0"/>
    </xf>
    <xf borderId="38" fillId="0" fontId="4" numFmtId="164" xfId="0" applyAlignment="1" applyBorder="1" applyFont="1" applyNumberFormat="1">
      <alignment horizontal="center" readingOrder="0"/>
    </xf>
    <xf borderId="38" fillId="0" fontId="1" numFmtId="164" xfId="0" applyAlignment="1" applyBorder="1" applyFont="1" applyNumberFormat="1">
      <alignment readingOrder="0"/>
    </xf>
    <xf borderId="30" fillId="6" fontId="1" numFmtId="164" xfId="0" applyAlignment="1" applyBorder="1" applyFont="1" applyNumberFormat="1">
      <alignment readingOrder="0"/>
    </xf>
    <xf borderId="30" fillId="6" fontId="1" numFmtId="165" xfId="0" applyAlignment="1" applyBorder="1" applyFont="1" applyNumberFormat="1">
      <alignment readingOrder="0"/>
    </xf>
    <xf borderId="44" fillId="4" fontId="1" numFmtId="164" xfId="0" applyAlignment="1" applyBorder="1" applyFont="1" applyNumberFormat="1">
      <alignment horizontal="center" readingOrder="0"/>
    </xf>
    <xf borderId="49" fillId="6" fontId="1" numFmtId="164" xfId="0" applyAlignment="1" applyBorder="1" applyFont="1" applyNumberFormat="1">
      <alignment horizontal="left" readingOrder="0"/>
    </xf>
    <xf borderId="49" fillId="6" fontId="1" numFmtId="165" xfId="0" applyAlignment="1" applyBorder="1" applyFont="1" applyNumberFormat="1">
      <alignment horizontal="left" readingOrder="0"/>
    </xf>
    <xf borderId="30" fillId="7" fontId="1" numFmtId="164" xfId="0" applyAlignment="1" applyBorder="1" applyFont="1" applyNumberFormat="1">
      <alignment readingOrder="0"/>
    </xf>
    <xf borderId="30" fillId="7" fontId="1" numFmtId="165" xfId="0" applyAlignment="1" applyBorder="1" applyFont="1" applyNumberFormat="1">
      <alignment readingOrder="0"/>
    </xf>
    <xf borderId="30" fillId="12" fontId="1" numFmtId="164" xfId="0" applyAlignment="1" applyBorder="1" applyFill="1" applyFont="1" applyNumberFormat="1">
      <alignment horizontal="left" readingOrder="0"/>
    </xf>
    <xf borderId="24" fillId="12" fontId="1" numFmtId="164" xfId="0" applyBorder="1" applyFont="1" applyNumberFormat="1"/>
    <xf borderId="30" fillId="13" fontId="1" numFmtId="164" xfId="0" applyAlignment="1" applyBorder="1" applyFill="1" applyFont="1" applyNumberFormat="1">
      <alignment readingOrder="0"/>
    </xf>
    <xf borderId="24" fillId="13" fontId="1" numFmtId="164" xfId="0" applyAlignment="1" applyBorder="1" applyFont="1" applyNumberFormat="1">
      <alignment readingOrder="0"/>
    </xf>
    <xf borderId="30" fillId="14" fontId="1" numFmtId="164" xfId="0" applyAlignment="1" applyBorder="1" applyFill="1" applyFont="1" applyNumberFormat="1">
      <alignment readingOrder="0"/>
    </xf>
    <xf borderId="24" fillId="14" fontId="1" numFmtId="164" xfId="0" applyBorder="1" applyFont="1" applyNumberFormat="1"/>
    <xf borderId="54" fillId="0" fontId="1" numFmtId="164" xfId="0" applyAlignment="1" applyBorder="1" applyFont="1" applyNumberFormat="1">
      <alignment horizontal="center" readingOrder="0"/>
    </xf>
    <xf borderId="10" fillId="0" fontId="1" numFmtId="164" xfId="0" applyAlignment="1" applyBorder="1" applyFont="1" applyNumberFormat="1">
      <alignment readingOrder="0"/>
    </xf>
    <xf borderId="20" fillId="0" fontId="1" numFmtId="165" xfId="0" applyAlignment="1" applyBorder="1" applyFont="1" applyNumberFormat="1">
      <alignment readingOrder="0"/>
    </xf>
    <xf borderId="24" fillId="12" fontId="1" numFmtId="164" xfId="0" applyAlignment="1" applyBorder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18" fillId="0" fontId="1" numFmtId="165" xfId="0" applyAlignment="1" applyBorder="1" applyFont="1" applyNumberFormat="1">
      <alignment readingOrder="0"/>
    </xf>
    <xf borderId="21" fillId="0" fontId="1" numFmtId="165" xfId="0" applyAlignment="1" applyBorder="1" applyFont="1" applyNumberFormat="1">
      <alignment readingOrder="0"/>
    </xf>
    <xf borderId="24" fillId="0" fontId="1" numFmtId="164" xfId="0" applyAlignment="1" applyBorder="1" applyFont="1" applyNumberFormat="1">
      <alignment readingOrder="0"/>
    </xf>
    <xf borderId="38" fillId="0" fontId="11" numFmtId="164" xfId="0" applyAlignment="1" applyBorder="1" applyFont="1" applyNumberFormat="1">
      <alignment horizontal="center" readingOrder="0"/>
    </xf>
    <xf borderId="30" fillId="8" fontId="1" numFmtId="165" xfId="0" applyAlignment="1" applyBorder="1" applyFont="1" applyNumberFormat="1">
      <alignment horizontal="left" readingOrder="0"/>
    </xf>
    <xf borderId="0" fillId="0" fontId="12" numFmtId="164" xfId="0" applyFont="1" applyNumberFormat="1"/>
    <xf borderId="10" fillId="0" fontId="13" numFmtId="164" xfId="0" applyAlignment="1" applyBorder="1" applyFont="1" applyNumberFormat="1">
      <alignment readingOrder="0"/>
    </xf>
    <xf borderId="16" fillId="0" fontId="10" numFmtId="164" xfId="0" applyAlignment="1" applyBorder="1" applyFont="1" applyNumberFormat="1">
      <alignment horizontal="center" readingOrder="0"/>
    </xf>
    <xf borderId="37" fillId="0" fontId="1" numFmtId="165" xfId="0" applyAlignment="1" applyBorder="1" applyFont="1" applyNumberFormat="1">
      <alignment readingOrder="0"/>
    </xf>
    <xf borderId="65" fillId="0" fontId="1" numFmtId="164" xfId="0" applyAlignment="1" applyBorder="1" applyFont="1" applyNumberFormat="1">
      <alignment readingOrder="0"/>
    </xf>
    <xf borderId="42" fillId="0" fontId="1" numFmtId="164" xfId="0" applyAlignment="1" applyBorder="1" applyFont="1" applyNumberFormat="1">
      <alignment readingOrder="0"/>
    </xf>
    <xf borderId="42" fillId="0" fontId="4" numFmtId="164" xfId="0" applyAlignment="1" applyBorder="1" applyFont="1" applyNumberFormat="1">
      <alignment horizontal="center" readingOrder="0"/>
    </xf>
    <xf borderId="66" fillId="4" fontId="1" numFmtId="164" xfId="0" applyAlignment="1" applyBorder="1" applyFont="1" applyNumberFormat="1">
      <alignment horizontal="center"/>
    </xf>
    <xf borderId="67" fillId="4" fontId="1" numFmtId="164" xfId="0" applyAlignment="1" applyBorder="1" applyFont="1" applyNumberFormat="1">
      <alignment horizontal="center" readingOrder="0"/>
    </xf>
    <xf borderId="11" fillId="0" fontId="1" numFmtId="164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10" fillId="0" fontId="3" numFmtId="164" xfId="0" applyAlignment="1" applyBorder="1" applyFont="1" applyNumberFormat="1">
      <alignment readingOrder="0"/>
    </xf>
    <xf borderId="0" fillId="0" fontId="13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36" fillId="0" fontId="1" numFmtId="165" xfId="0" applyAlignment="1" applyBorder="1" applyFont="1" applyNumberFormat="1">
      <alignment readingOrder="0"/>
    </xf>
    <xf borderId="16" fillId="0" fontId="4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readingOrder="0"/>
    </xf>
    <xf borderId="20" fillId="0" fontId="1" numFmtId="165" xfId="0" applyAlignment="1" applyBorder="1" applyFont="1" applyNumberFormat="1">
      <alignment vertical="bottom"/>
    </xf>
    <xf borderId="21" fillId="0" fontId="1" numFmtId="165" xfId="0" applyAlignment="1" applyBorder="1" applyFont="1" applyNumberFormat="1">
      <alignment horizontal="right" vertical="bottom"/>
    </xf>
    <xf borderId="12" fillId="3" fontId="1" numFmtId="164" xfId="0" applyAlignment="1" applyBorder="1" applyFont="1" applyNumberFormat="1">
      <alignment horizontal="center" readingOrder="0"/>
    </xf>
    <xf borderId="26" fillId="3" fontId="1" numFmtId="164" xfId="0" applyAlignment="1" applyBorder="1" applyFont="1" applyNumberFormat="1">
      <alignment horizontal="center" readingOrder="0"/>
    </xf>
    <xf borderId="20" fillId="0" fontId="1" numFmtId="164" xfId="0" applyAlignment="1" applyBorder="1" applyFont="1" applyNumberFormat="1">
      <alignment vertical="bottom"/>
    </xf>
    <xf borderId="37" fillId="0" fontId="1" numFmtId="164" xfId="0" applyAlignment="1" applyBorder="1" applyFont="1" applyNumberFormat="1">
      <alignment horizontal="right" vertical="bottom"/>
    </xf>
    <xf borderId="39" fillId="0" fontId="1" numFmtId="164" xfId="0" applyAlignment="1" applyBorder="1" applyFont="1" applyNumberFormat="1">
      <alignment readingOrder="0"/>
    </xf>
    <xf borderId="20" fillId="0" fontId="5" numFmtId="0" xfId="0" applyBorder="1" applyFont="1"/>
    <xf borderId="66" fillId="0" fontId="5" numFmtId="0" xfId="0" applyBorder="1" applyFont="1"/>
    <xf borderId="0" fillId="0" fontId="3" numFmtId="164" xfId="0" applyFont="1" applyNumberFormat="1"/>
    <xf borderId="7" fillId="0" fontId="1" numFmtId="166" xfId="0" applyAlignment="1" applyBorder="1" applyFont="1" applyNumberFormat="1">
      <alignment horizontal="center" readingOrder="0"/>
    </xf>
    <xf borderId="9" fillId="0" fontId="1" numFmtId="166" xfId="0" applyBorder="1" applyFont="1" applyNumberFormat="1"/>
    <xf borderId="0" fillId="0" fontId="1" numFmtId="166" xfId="0" applyFont="1" applyNumberFormat="1"/>
    <xf borderId="12" fillId="3" fontId="1" numFmtId="166" xfId="0" applyAlignment="1" applyBorder="1" applyFont="1" applyNumberFormat="1">
      <alignment horizontal="center"/>
    </xf>
    <xf borderId="17" fillId="0" fontId="1" numFmtId="166" xfId="0" applyAlignment="1" applyBorder="1" applyFont="1" applyNumberFormat="1">
      <alignment readingOrder="0"/>
    </xf>
    <xf borderId="18" fillId="0" fontId="1" numFmtId="166" xfId="0" applyAlignment="1" applyBorder="1" applyFont="1" applyNumberFormat="1">
      <alignment readingOrder="0"/>
    </xf>
    <xf borderId="20" fillId="0" fontId="1" numFmtId="166" xfId="0" applyBorder="1" applyFont="1" applyNumberFormat="1"/>
    <xf borderId="21" fillId="0" fontId="1" numFmtId="166" xfId="0" applyBorder="1" applyFont="1" applyNumberFormat="1"/>
    <xf borderId="16" fillId="0" fontId="1" numFmtId="164" xfId="0" applyAlignment="1" applyBorder="1" applyFont="1" applyNumberFormat="1">
      <alignment horizontal="right" readingOrder="0" vertical="center"/>
    </xf>
    <xf borderId="62" fillId="0" fontId="1" numFmtId="166" xfId="0" applyBorder="1" applyFont="1" applyNumberFormat="1"/>
    <xf borderId="24" fillId="0" fontId="1" numFmtId="166" xfId="0" applyBorder="1" applyFont="1" applyNumberFormat="1"/>
    <xf borderId="26" fillId="3" fontId="1" numFmtId="166" xfId="0" applyAlignment="1" applyBorder="1" applyFont="1" applyNumberFormat="1">
      <alignment horizontal="center"/>
    </xf>
    <xf borderId="18" fillId="0" fontId="1" numFmtId="166" xfId="0" applyBorder="1" applyFont="1" applyNumberFormat="1"/>
    <xf borderId="20" fillId="0" fontId="1" numFmtId="166" xfId="0" applyAlignment="1" applyBorder="1" applyFont="1" applyNumberFormat="1">
      <alignment readingOrder="0"/>
    </xf>
    <xf borderId="57" fillId="7" fontId="1" numFmtId="166" xfId="0" applyAlignment="1" applyBorder="1" applyFont="1" applyNumberFormat="1">
      <alignment horizontal="left"/>
    </xf>
    <xf borderId="53" fillId="7" fontId="1" numFmtId="166" xfId="0" applyBorder="1" applyFont="1" applyNumberFormat="1"/>
    <xf borderId="30" fillId="7" fontId="1" numFmtId="166" xfId="0" applyBorder="1" applyFont="1" applyNumberFormat="1"/>
    <xf borderId="30" fillId="7" fontId="1" numFmtId="166" xfId="0" applyAlignment="1" applyBorder="1" applyFont="1" applyNumberFormat="1">
      <alignment horizontal="left"/>
    </xf>
    <xf borderId="24" fillId="7" fontId="1" numFmtId="166" xfId="0" applyBorder="1" applyFont="1" applyNumberFormat="1"/>
    <xf borderId="30" fillId="5" fontId="1" numFmtId="166" xfId="0" applyAlignment="1" applyBorder="1" applyFont="1" applyNumberFormat="1">
      <alignment horizontal="center"/>
    </xf>
    <xf borderId="24" fillId="5" fontId="1" numFmtId="166" xfId="0" applyBorder="1" applyFont="1" applyNumberFormat="1"/>
    <xf borderId="36" fillId="0" fontId="1" numFmtId="166" xfId="0" applyAlignment="1" applyBorder="1" applyFont="1" applyNumberFormat="1">
      <alignment readingOrder="0"/>
    </xf>
    <xf borderId="37" fillId="0" fontId="1" numFmtId="166" xfId="0" applyBorder="1" applyFont="1" applyNumberFormat="1"/>
    <xf borderId="20" fillId="0" fontId="1" numFmtId="166" xfId="0" applyAlignment="1" applyBorder="1" applyFont="1" applyNumberFormat="1">
      <alignment horizontal="left"/>
    </xf>
    <xf borderId="39" fillId="0" fontId="1" numFmtId="166" xfId="0" applyBorder="1" applyFont="1" applyNumberFormat="1"/>
    <xf borderId="30" fillId="6" fontId="1" numFmtId="166" xfId="0" applyAlignment="1" applyBorder="1" applyFont="1" applyNumberFormat="1">
      <alignment readingOrder="0"/>
    </xf>
    <xf borderId="40" fillId="6" fontId="1" numFmtId="166" xfId="0" applyBorder="1" applyFont="1" applyNumberFormat="1"/>
    <xf borderId="20" fillId="0" fontId="1" numFmtId="166" xfId="0" applyAlignment="1" applyBorder="1" applyFont="1" applyNumberFormat="1">
      <alignment horizontal="left" readingOrder="0"/>
    </xf>
    <xf borderId="41" fillId="0" fontId="1" numFmtId="166" xfId="0" applyAlignment="1" applyBorder="1" applyFont="1" applyNumberFormat="1">
      <alignment readingOrder="0"/>
    </xf>
    <xf borderId="60" fillId="0" fontId="1" numFmtId="166" xfId="0" applyBorder="1" applyFont="1" applyNumberFormat="1"/>
    <xf borderId="20" fillId="0" fontId="1" numFmtId="166" xfId="0" applyAlignment="1" applyBorder="1" applyFont="1" applyNumberFormat="1">
      <alignment horizontal="center"/>
    </xf>
    <xf borderId="17" fillId="0" fontId="1" numFmtId="166" xfId="0" applyBorder="1" applyFont="1" applyNumberFormat="1"/>
    <xf borderId="49" fillId="6" fontId="1" numFmtId="166" xfId="0" applyAlignment="1" applyBorder="1" applyFont="1" applyNumberFormat="1">
      <alignment horizontal="left" readingOrder="0"/>
    </xf>
    <xf borderId="24" fillId="6" fontId="1" numFmtId="166" xfId="0" applyBorder="1" applyFont="1" applyNumberFormat="1"/>
    <xf borderId="30" fillId="7" fontId="1" numFmtId="166" xfId="0" applyAlignment="1" applyBorder="1" applyFont="1" applyNumberFormat="1">
      <alignment readingOrder="0"/>
    </xf>
    <xf borderId="30" fillId="8" fontId="1" numFmtId="166" xfId="0" applyAlignment="1" applyBorder="1" applyFont="1" applyNumberFormat="1">
      <alignment horizontal="left"/>
    </xf>
    <xf borderId="30" fillId="9" fontId="1" numFmtId="166" xfId="0" applyBorder="1" applyFont="1" applyNumberFormat="1"/>
    <xf borderId="24" fillId="9" fontId="1" numFmtId="166" xfId="0" applyAlignment="1" applyBorder="1" applyFont="1" applyNumberFormat="1">
      <alignment readingOrder="0"/>
    </xf>
    <xf borderId="24" fillId="9" fontId="1" numFmtId="166" xfId="0" applyBorder="1" applyFont="1" applyNumberFormat="1"/>
    <xf borderId="0" fillId="0" fontId="1" numFmtId="0" xfId="0" applyFont="1"/>
    <xf borderId="0" fillId="0" fontId="12" numFmtId="164" xfId="0" applyAlignment="1" applyFont="1" applyNumberFormat="1">
      <alignment horizontal="center"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15" fontId="12" numFmtId="164" xfId="0" applyAlignment="1" applyFill="1" applyFont="1" applyNumberFormat="1">
      <alignment readingOrder="0"/>
    </xf>
    <xf borderId="0" fillId="15" fontId="12" numFmtId="164" xfId="0" applyFont="1" applyNumberFormat="1"/>
    <xf borderId="0" fillId="16" fontId="1" numFmtId="164" xfId="0" applyAlignment="1" applyFill="1" applyFont="1" applyNumberFormat="1">
      <alignment readingOrder="0"/>
    </xf>
    <xf borderId="0" fillId="16" fontId="1" numFmtId="164" xfId="0" applyFont="1" applyNumberFormat="1"/>
    <xf borderId="0" fillId="16" fontId="1" numFmtId="166" xfId="0" applyFont="1" applyNumberFormat="1"/>
    <xf borderId="0" fillId="0" fontId="1" numFmtId="167" xfId="0" applyFont="1" applyNumberFormat="1"/>
    <xf borderId="0" fillId="14" fontId="12" numFmtId="0" xfId="0" applyAlignment="1" applyFont="1">
      <alignment readingOrder="0"/>
    </xf>
    <xf borderId="0" fillId="14" fontId="12" numFmtId="164" xfId="0" applyFont="1" applyNumberFormat="1"/>
    <xf borderId="0" fillId="0" fontId="6" numFmtId="0" xfId="0" applyFont="1"/>
    <xf borderId="0" fillId="0" fontId="5" numFmtId="166" xfId="0" applyFont="1" applyNumberFormat="1"/>
    <xf borderId="37" fillId="0" fontId="1" numFmtId="166" xfId="0" applyAlignment="1" applyBorder="1" applyFont="1" applyNumberFormat="1">
      <alignment readingOrder="0"/>
    </xf>
    <xf borderId="64" fillId="14" fontId="1" numFmtId="164" xfId="0" applyAlignment="1" applyBorder="1" applyFont="1" applyNumberFormat="1">
      <alignment readingOrder="0"/>
    </xf>
    <xf borderId="68" fillId="0" fontId="2" numFmtId="0" xfId="0" applyBorder="1" applyFont="1"/>
    <xf borderId="43" fillId="14" fontId="1" numFmtId="164" xfId="0" applyBorder="1" applyFont="1" applyNumberFormat="1"/>
    <xf borderId="0" fillId="0" fontId="12" numFmtId="167" xfId="0" applyAlignment="1" applyFont="1" applyNumberFormat="1">
      <alignment readingOrder="0"/>
    </xf>
    <xf borderId="0" fillId="14" fontId="1" numFmtId="0" xfId="0" applyAlignment="1" applyFont="1">
      <alignment readingOrder="0"/>
    </xf>
    <xf borderId="0" fillId="14" fontId="1" numFmtId="164" xfId="0" applyFont="1" applyNumberFormat="1"/>
    <xf borderId="0" fillId="17" fontId="1" numFmtId="0" xfId="0" applyAlignment="1" applyFill="1" applyFont="1">
      <alignment readingOrder="0"/>
    </xf>
    <xf borderId="0" fillId="17" fontId="1" numFmtId="169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5" fillId="0" fontId="1" numFmtId="164" xfId="0" applyAlignment="1" applyBorder="1" applyFont="1" applyNumberFormat="1">
      <alignment readingOrder="0"/>
    </xf>
    <xf borderId="0" fillId="18" fontId="1" numFmtId="164" xfId="0" applyAlignment="1" applyFill="1" applyFont="1" applyNumberFormat="1">
      <alignment readingOrder="0"/>
    </xf>
    <xf borderId="16" fillId="0" fontId="1" numFmtId="166" xfId="0" applyAlignment="1" applyBorder="1" applyFont="1" applyNumberFormat="1">
      <alignment readingOrder="0"/>
    </xf>
    <xf borderId="30" fillId="4" fontId="12" numFmtId="164" xfId="0" applyAlignment="1" applyBorder="1" applyFont="1" applyNumberFormat="1">
      <alignment horizontal="center" readingOrder="0"/>
    </xf>
    <xf borderId="32" fillId="4" fontId="12" numFmtId="164" xfId="0" applyBorder="1" applyFont="1" applyNumberFormat="1"/>
    <xf borderId="21" fillId="0" fontId="1" numFmtId="166" xfId="0" applyAlignment="1" applyBorder="1" applyFont="1" applyNumberFormat="1">
      <alignment readingOrder="0"/>
    </xf>
    <xf borderId="32" fillId="4" fontId="12" numFmtId="166" xfId="0" applyBorder="1" applyFont="1" applyNumberFormat="1"/>
    <xf borderId="30" fillId="8" fontId="1" numFmtId="166" xfId="0" applyAlignment="1" applyBorder="1" applyFont="1" applyNumberFormat="1">
      <alignment horizontal="left" readingOrder="0"/>
    </xf>
    <xf borderId="21" fillId="19" fontId="1" numFmtId="166" xfId="0" applyBorder="1" applyFill="1" applyFont="1" applyNumberFormat="1"/>
    <xf borderId="30" fillId="9" fontId="1" numFmtId="166" xfId="0" applyAlignment="1" applyBorder="1" applyFont="1" applyNumberFormat="1">
      <alignment readingOrder="0"/>
    </xf>
    <xf borderId="30" fillId="20" fontId="12" numFmtId="166" xfId="0" applyAlignment="1" applyBorder="1" applyFill="1" applyFont="1" applyNumberFormat="1">
      <alignment readingOrder="0"/>
    </xf>
    <xf borderId="24" fillId="20" fontId="12" numFmtId="166" xfId="0" applyAlignment="1" applyBorder="1" applyFont="1" applyNumberFormat="1">
      <alignment readingOrder="0"/>
    </xf>
    <xf borderId="55" fillId="3" fontId="1" numFmtId="164" xfId="0" applyAlignment="1" applyBorder="1" applyFont="1" applyNumberFormat="1">
      <alignment horizontal="center" readingOrder="0"/>
    </xf>
    <xf borderId="4" fillId="0" fontId="1" numFmtId="164" xfId="0" applyAlignment="1" applyBorder="1" applyFont="1" applyNumberFormat="1">
      <alignment readingOrder="0"/>
    </xf>
    <xf borderId="30" fillId="0" fontId="1" numFmtId="164" xfId="0" applyAlignment="1" applyBorder="1" applyFont="1" applyNumberFormat="1">
      <alignment horizontal="center" readingOrder="0"/>
    </xf>
    <xf borderId="7" fillId="0" fontId="1" numFmtId="170" xfId="0" applyAlignment="1" applyBorder="1" applyFont="1" applyNumberFormat="1">
      <alignment horizontal="center" readingOrder="0"/>
    </xf>
    <xf borderId="9" fillId="0" fontId="1" numFmtId="170" xfId="0" applyBorder="1" applyFont="1" applyNumberFormat="1"/>
    <xf borderId="0" fillId="0" fontId="1" numFmtId="170" xfId="0" applyFont="1" applyNumberFormat="1"/>
    <xf borderId="12" fillId="3" fontId="1" numFmtId="170" xfId="0" applyAlignment="1" applyBorder="1" applyFont="1" applyNumberFormat="1">
      <alignment horizontal="center"/>
    </xf>
    <xf borderId="17" fillId="0" fontId="1" numFmtId="170" xfId="0" applyAlignment="1" applyBorder="1" applyFont="1" applyNumberFormat="1">
      <alignment readingOrder="0"/>
    </xf>
    <xf borderId="18" fillId="0" fontId="1" numFmtId="170" xfId="0" applyAlignment="1" applyBorder="1" applyFont="1" applyNumberFormat="1">
      <alignment readingOrder="0"/>
    </xf>
    <xf borderId="20" fillId="0" fontId="1" numFmtId="170" xfId="0" applyBorder="1" applyFont="1" applyNumberFormat="1"/>
    <xf borderId="21" fillId="0" fontId="1" numFmtId="170" xfId="0" applyBorder="1" applyFont="1" applyNumberFormat="1"/>
    <xf borderId="62" fillId="0" fontId="1" numFmtId="170" xfId="0" applyBorder="1" applyFont="1" applyNumberFormat="1"/>
    <xf borderId="24" fillId="0" fontId="1" numFmtId="170" xfId="0" applyAlignment="1" applyBorder="1" applyFont="1" applyNumberFormat="1">
      <alignment readingOrder="0"/>
    </xf>
    <xf borderId="26" fillId="3" fontId="1" numFmtId="170" xfId="0" applyAlignment="1" applyBorder="1" applyFont="1" applyNumberFormat="1">
      <alignment horizontal="center"/>
    </xf>
    <xf borderId="18" fillId="0" fontId="1" numFmtId="170" xfId="0" applyBorder="1" applyFont="1" applyNumberFormat="1"/>
    <xf borderId="20" fillId="0" fontId="1" numFmtId="170" xfId="0" applyAlignment="1" applyBorder="1" applyFont="1" applyNumberFormat="1">
      <alignment readingOrder="0"/>
    </xf>
    <xf borderId="21" fillId="0" fontId="1" numFmtId="170" xfId="0" applyAlignment="1" applyBorder="1" applyFont="1" applyNumberFormat="1">
      <alignment readingOrder="0"/>
    </xf>
    <xf borderId="24" fillId="0" fontId="1" numFmtId="170" xfId="0" applyBorder="1" applyFont="1" applyNumberFormat="1"/>
    <xf borderId="57" fillId="7" fontId="1" numFmtId="170" xfId="0" applyAlignment="1" applyBorder="1" applyFont="1" applyNumberFormat="1">
      <alignment horizontal="left"/>
    </xf>
    <xf borderId="53" fillId="7" fontId="1" numFmtId="170" xfId="0" applyBorder="1" applyFont="1" applyNumberFormat="1"/>
    <xf borderId="30" fillId="7" fontId="1" numFmtId="170" xfId="0" applyBorder="1" applyFont="1" applyNumberFormat="1"/>
    <xf borderId="30" fillId="7" fontId="1" numFmtId="170" xfId="0" applyAlignment="1" applyBorder="1" applyFont="1" applyNumberFormat="1">
      <alignment horizontal="left"/>
    </xf>
    <xf borderId="24" fillId="7" fontId="1" numFmtId="170" xfId="0" applyBorder="1" applyFont="1" applyNumberFormat="1"/>
    <xf borderId="30" fillId="5" fontId="1" numFmtId="170" xfId="0" applyAlignment="1" applyBorder="1" applyFont="1" applyNumberFormat="1">
      <alignment horizontal="center"/>
    </xf>
    <xf borderId="24" fillId="5" fontId="1" numFmtId="170" xfId="0" applyBorder="1" applyFont="1" applyNumberFormat="1"/>
    <xf borderId="36" fillId="0" fontId="1" numFmtId="170" xfId="0" applyAlignment="1" applyBorder="1" applyFont="1" applyNumberFormat="1">
      <alignment readingOrder="0"/>
    </xf>
    <xf borderId="37" fillId="0" fontId="1" numFmtId="170" xfId="0" applyAlignment="1" applyBorder="1" applyFont="1" applyNumberFormat="1">
      <alignment readingOrder="0"/>
    </xf>
    <xf borderId="37" fillId="0" fontId="1" numFmtId="170" xfId="0" applyBorder="1" applyFont="1" applyNumberFormat="1"/>
    <xf borderId="20" fillId="0" fontId="1" numFmtId="170" xfId="0" applyAlignment="1" applyBorder="1" applyFont="1" applyNumberFormat="1">
      <alignment horizontal="left"/>
    </xf>
    <xf borderId="39" fillId="0" fontId="1" numFmtId="170" xfId="0" applyBorder="1" applyFont="1" applyNumberFormat="1"/>
    <xf borderId="30" fillId="6" fontId="1" numFmtId="170" xfId="0" applyAlignment="1" applyBorder="1" applyFont="1" applyNumberFormat="1">
      <alignment readingOrder="0"/>
    </xf>
    <xf borderId="40" fillId="6" fontId="1" numFmtId="170" xfId="0" applyBorder="1" applyFont="1" applyNumberFormat="1"/>
    <xf borderId="20" fillId="0" fontId="1" numFmtId="170" xfId="0" applyAlignment="1" applyBorder="1" applyFont="1" applyNumberFormat="1">
      <alignment horizontal="left" readingOrder="0"/>
    </xf>
    <xf borderId="41" fillId="0" fontId="1" numFmtId="170" xfId="0" applyAlignment="1" applyBorder="1" applyFont="1" applyNumberFormat="1">
      <alignment readingOrder="0"/>
    </xf>
    <xf borderId="60" fillId="0" fontId="1" numFmtId="170" xfId="0" applyBorder="1" applyFont="1" applyNumberFormat="1"/>
    <xf borderId="20" fillId="0" fontId="1" numFmtId="170" xfId="0" applyAlignment="1" applyBorder="1" applyFont="1" applyNumberFormat="1">
      <alignment horizontal="center"/>
    </xf>
    <xf borderId="17" fillId="0" fontId="1" numFmtId="170" xfId="0" applyBorder="1" applyFont="1" applyNumberFormat="1"/>
    <xf borderId="49" fillId="6" fontId="1" numFmtId="170" xfId="0" applyAlignment="1" applyBorder="1" applyFont="1" applyNumberFormat="1">
      <alignment horizontal="left" readingOrder="0"/>
    </xf>
    <xf borderId="24" fillId="6" fontId="1" numFmtId="170" xfId="0" applyBorder="1" applyFont="1" applyNumberFormat="1"/>
    <xf borderId="30" fillId="7" fontId="1" numFmtId="170" xfId="0" applyAlignment="1" applyBorder="1" applyFont="1" applyNumberFormat="1">
      <alignment readingOrder="0"/>
    </xf>
    <xf borderId="30" fillId="8" fontId="1" numFmtId="170" xfId="0" applyAlignment="1" applyBorder="1" applyFont="1" applyNumberFormat="1">
      <alignment horizontal="left"/>
    </xf>
    <xf borderId="21" fillId="19" fontId="1" numFmtId="170" xfId="0" applyBorder="1" applyFont="1" applyNumberFormat="1"/>
    <xf borderId="30" fillId="9" fontId="1" numFmtId="170" xfId="0" applyAlignment="1" applyBorder="1" applyFont="1" applyNumberFormat="1">
      <alignment readingOrder="0"/>
    </xf>
    <xf borderId="24" fillId="9" fontId="1" numFmtId="170" xfId="0" applyBorder="1" applyFont="1" applyNumberFormat="1"/>
    <xf borderId="30" fillId="20" fontId="12" numFmtId="170" xfId="0" applyAlignment="1" applyBorder="1" applyFont="1" applyNumberFormat="1">
      <alignment readingOrder="0"/>
    </xf>
    <xf borderId="24" fillId="20" fontId="12" numFmtId="170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16.86"/>
    <col customWidth="1" min="4" max="4" width="19.14"/>
    <col customWidth="1" min="5" max="9" width="8.86"/>
    <col customWidth="1" min="10" max="10" width="25.43"/>
    <col customWidth="1" min="11" max="11" width="15.29"/>
    <col customWidth="1" min="12" max="12" width="21.71"/>
    <col customWidth="1" min="13" max="13" width="15.57"/>
    <col customWidth="1" min="14" max="26" width="8.71"/>
  </cols>
  <sheetData>
    <row r="1" ht="18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0" customHeight="1">
      <c r="A6" s="5"/>
      <c r="B6" s="6"/>
      <c r="C6" s="6"/>
      <c r="D6" s="6"/>
      <c r="E6" s="6"/>
      <c r="F6" s="6"/>
      <c r="G6" s="6"/>
      <c r="H6" s="6"/>
      <c r="I6" s="6"/>
      <c r="J6" s="9" t="s">
        <v>0</v>
      </c>
      <c r="K6" s="10"/>
      <c r="L6" s="11" t="s">
        <v>3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0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" customHeight="1">
      <c r="A8" s="5"/>
      <c r="B8" s="17"/>
      <c r="C8" s="17" t="s">
        <v>6</v>
      </c>
      <c r="D8" s="18">
        <v>40000.0</v>
      </c>
      <c r="E8" s="6"/>
      <c r="F8" s="6"/>
      <c r="G8" s="6"/>
      <c r="H8" s="6"/>
      <c r="I8" s="6"/>
      <c r="J8" s="19"/>
      <c r="K8" s="4"/>
      <c r="L8" s="20">
        <v>400000.0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0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22"/>
      <c r="K9" s="6"/>
      <c r="L9" s="23">
        <v>77000.0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5"/>
      <c r="B10" s="5"/>
      <c r="C10" s="5" t="s">
        <v>8</v>
      </c>
      <c r="D10" s="24">
        <v>90000.0</v>
      </c>
      <c r="E10" s="6"/>
      <c r="F10" s="6"/>
      <c r="G10" s="6"/>
      <c r="H10" s="6"/>
      <c r="I10" s="6"/>
      <c r="J10" s="22"/>
      <c r="K10" s="6"/>
      <c r="L10" s="23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5"/>
      <c r="B11" s="17"/>
      <c r="C11" s="18"/>
      <c r="D11" s="25"/>
      <c r="E11" s="6"/>
      <c r="F11" s="6"/>
      <c r="G11" s="6"/>
      <c r="H11" s="6"/>
      <c r="I11" s="6"/>
      <c r="J11" s="22"/>
      <c r="K11" s="6"/>
      <c r="L11" s="23"/>
      <c r="M11" s="26">
        <f>SUM(L8:L11)</f>
        <v>477000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5"/>
      <c r="B12" s="5"/>
      <c r="C12" s="21" t="s">
        <v>9</v>
      </c>
      <c r="D12" s="27">
        <v>35000.0</v>
      </c>
      <c r="E12" s="6"/>
      <c r="F12" s="6"/>
      <c r="G12" s="6"/>
      <c r="H12" s="6"/>
      <c r="I12" s="6"/>
      <c r="J12" s="28" t="s">
        <v>10</v>
      </c>
      <c r="K12" s="29"/>
      <c r="L12" s="30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5"/>
      <c r="B13" s="31"/>
      <c r="C13" s="31"/>
      <c r="D13" s="13"/>
      <c r="E13" s="6"/>
      <c r="F13" s="6"/>
      <c r="G13" s="6"/>
      <c r="H13" s="6"/>
      <c r="I13" s="6"/>
      <c r="J13" s="19"/>
      <c r="K13" s="4"/>
      <c r="L13" s="20">
        <v>19000.0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5"/>
      <c r="B14" s="32" t="s">
        <v>11</v>
      </c>
      <c r="C14" s="33"/>
      <c r="D14" s="34">
        <f>SUM(D8:D12)</f>
        <v>165000</v>
      </c>
      <c r="E14" s="6"/>
      <c r="F14" s="6"/>
      <c r="G14" s="6"/>
      <c r="H14" s="6"/>
      <c r="I14" s="6"/>
      <c r="J14" s="22"/>
      <c r="K14" s="6"/>
      <c r="L14" s="23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5"/>
      <c r="B15" s="35"/>
      <c r="C15" s="35"/>
      <c r="D15" s="35"/>
      <c r="E15" s="6"/>
      <c r="F15" s="6"/>
      <c r="G15" s="6"/>
      <c r="H15" s="6"/>
      <c r="I15" s="6"/>
      <c r="J15" s="22"/>
      <c r="K15" s="6"/>
      <c r="L15" s="23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K16" s="6"/>
      <c r="L16" s="23"/>
      <c r="M16" s="26">
        <f>SUM(L13:L16)</f>
        <v>19000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5"/>
      <c r="B17" s="6"/>
      <c r="C17" s="6"/>
      <c r="D17" s="6"/>
      <c r="E17" s="6"/>
      <c r="F17" s="6"/>
      <c r="G17" s="6"/>
      <c r="H17" s="6"/>
      <c r="I17" s="6"/>
      <c r="J17" s="36" t="s">
        <v>12</v>
      </c>
      <c r="K17" s="37"/>
      <c r="L17" s="38"/>
      <c r="M17" s="39">
        <f>M11+M16</f>
        <v>496000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5"/>
      <c r="B18" s="6"/>
      <c r="C18" s="6"/>
      <c r="D18" s="6"/>
      <c r="E18" s="6"/>
      <c r="F18" s="6"/>
      <c r="G18" s="6"/>
      <c r="H18" s="6"/>
      <c r="I18" s="6"/>
      <c r="J18" s="22" t="s">
        <v>13</v>
      </c>
      <c r="L18" s="40">
        <v>6500.0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5"/>
      <c r="B19" s="6"/>
      <c r="C19" s="6"/>
      <c r="D19" s="6"/>
      <c r="E19" s="6"/>
      <c r="F19" s="6"/>
      <c r="G19" s="6"/>
      <c r="H19" s="6"/>
      <c r="I19" s="6"/>
      <c r="J19" s="22" t="s">
        <v>14</v>
      </c>
      <c r="L19" s="41">
        <v>1500.0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5"/>
      <c r="B20" s="6"/>
      <c r="C20" s="6"/>
      <c r="D20" s="6"/>
      <c r="E20" s="6"/>
      <c r="F20" s="6"/>
      <c r="G20" s="6"/>
      <c r="H20" s="6"/>
      <c r="I20" s="6"/>
      <c r="J20" s="22" t="s">
        <v>15</v>
      </c>
      <c r="L20" s="41">
        <v>1600.0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5"/>
      <c r="B21" s="6"/>
      <c r="C21" s="6"/>
      <c r="D21" s="6"/>
      <c r="E21" s="6"/>
      <c r="F21" s="6"/>
      <c r="G21" s="6"/>
      <c r="H21" s="6"/>
      <c r="I21" s="6"/>
      <c r="J21" s="22" t="s">
        <v>16</v>
      </c>
      <c r="L21" s="41">
        <v>2000.0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6"/>
      <c r="B22" s="42" t="s">
        <v>17</v>
      </c>
      <c r="C22" s="6"/>
      <c r="D22" s="6"/>
      <c r="E22" s="6"/>
      <c r="F22" s="6"/>
      <c r="G22" s="6"/>
      <c r="H22" s="6"/>
      <c r="I22" s="6"/>
      <c r="J22" s="22" t="s">
        <v>18</v>
      </c>
      <c r="L22" s="41">
        <v>1400.0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6"/>
      <c r="B23" s="8" t="s">
        <v>19</v>
      </c>
      <c r="C23" s="8"/>
      <c r="D23" s="6"/>
      <c r="E23" s="6"/>
      <c r="F23" s="6"/>
      <c r="G23" s="6"/>
      <c r="H23" s="6"/>
      <c r="I23" s="6"/>
      <c r="J23" s="22" t="s">
        <v>20</v>
      </c>
      <c r="L23" s="41">
        <v>3800.0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5"/>
      <c r="B24" s="6"/>
      <c r="C24" s="6"/>
      <c r="D24" s="6"/>
      <c r="E24" s="6"/>
      <c r="F24" s="6"/>
      <c r="G24" s="6"/>
      <c r="H24" s="6"/>
      <c r="I24" s="6"/>
      <c r="J24" s="22" t="s">
        <v>21</v>
      </c>
      <c r="L24" s="41">
        <v>700.0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5"/>
      <c r="B25" s="25"/>
      <c r="C25" s="27" t="s">
        <v>3</v>
      </c>
      <c r="D25" s="43" t="s">
        <v>22</v>
      </c>
      <c r="E25" s="6"/>
      <c r="F25" s="6"/>
      <c r="G25" s="6"/>
      <c r="H25" s="6"/>
      <c r="I25" s="6"/>
      <c r="J25" s="22" t="s">
        <v>23</v>
      </c>
      <c r="L25" s="41">
        <v>1500.0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5"/>
      <c r="B26" s="24" t="s">
        <v>24</v>
      </c>
      <c r="C26" s="44">
        <v>35000.0</v>
      </c>
      <c r="D26" s="45" t="s">
        <v>25</v>
      </c>
      <c r="E26" s="6"/>
      <c r="F26" s="6"/>
      <c r="G26" s="6"/>
      <c r="H26" s="6"/>
      <c r="I26" s="6"/>
      <c r="J26" s="22"/>
      <c r="L26" s="41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6"/>
      <c r="B27" s="44" t="s">
        <v>26</v>
      </c>
      <c r="C27" s="44">
        <v>5000.0</v>
      </c>
      <c r="D27" s="45" t="s">
        <v>25</v>
      </c>
      <c r="E27" s="6"/>
      <c r="F27" s="6"/>
      <c r="G27" s="6"/>
      <c r="H27" s="6"/>
      <c r="I27" s="6"/>
      <c r="J27" s="22"/>
      <c r="K27" s="46"/>
      <c r="L27" s="47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5"/>
      <c r="B28" s="44" t="s">
        <v>27</v>
      </c>
      <c r="C28" s="44">
        <v>600.0</v>
      </c>
      <c r="D28" s="45" t="s">
        <v>25</v>
      </c>
      <c r="E28" s="6"/>
      <c r="F28" s="6"/>
      <c r="G28" s="6"/>
      <c r="H28" s="6"/>
      <c r="I28" s="6"/>
      <c r="J28" s="48" t="s">
        <v>28</v>
      </c>
      <c r="K28" s="38"/>
      <c r="L28" s="49">
        <f>SUM(L18:L27)</f>
        <v>19000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5"/>
      <c r="B29" s="44" t="s">
        <v>29</v>
      </c>
      <c r="C29" s="44">
        <v>77000.0</v>
      </c>
      <c r="D29" s="45" t="s">
        <v>25</v>
      </c>
      <c r="E29" s="6"/>
      <c r="F29" s="6"/>
      <c r="G29" s="6"/>
      <c r="H29" s="6"/>
      <c r="I29" s="6"/>
      <c r="J29" s="50" t="s">
        <v>30</v>
      </c>
      <c r="L29" s="51">
        <v>2000.0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5"/>
      <c r="B30" s="44" t="s">
        <v>31</v>
      </c>
      <c r="C30" s="44">
        <v>5000.0</v>
      </c>
      <c r="D30" s="45" t="s">
        <v>25</v>
      </c>
      <c r="E30" s="6"/>
      <c r="F30" s="6"/>
      <c r="G30" s="6"/>
      <c r="H30" s="6"/>
      <c r="I30" s="6"/>
      <c r="J30" s="50" t="s">
        <v>32</v>
      </c>
      <c r="L30" s="41">
        <v>2000.0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5"/>
      <c r="B31" s="44" t="s">
        <v>33</v>
      </c>
      <c r="C31" s="44">
        <v>8000.0</v>
      </c>
      <c r="D31" s="45" t="s">
        <v>25</v>
      </c>
      <c r="E31" s="6"/>
      <c r="F31" s="6"/>
      <c r="G31" s="6"/>
      <c r="H31" s="6"/>
      <c r="I31" s="6"/>
      <c r="J31" s="50"/>
      <c r="L31" s="41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5"/>
      <c r="B32" s="44" t="s">
        <v>34</v>
      </c>
      <c r="C32" s="44">
        <v>10000.0</v>
      </c>
      <c r="D32" s="45" t="s">
        <v>25</v>
      </c>
      <c r="E32" s="6"/>
      <c r="F32" s="6"/>
      <c r="G32" s="6"/>
      <c r="H32" s="6"/>
      <c r="I32" s="6"/>
      <c r="J32" s="50"/>
      <c r="L32" s="41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5"/>
      <c r="B33" s="44" t="s">
        <v>35</v>
      </c>
      <c r="C33" s="44">
        <v>23000.0</v>
      </c>
      <c r="D33" s="45" t="s">
        <v>25</v>
      </c>
      <c r="E33" s="6"/>
      <c r="F33" s="6"/>
      <c r="G33" s="6"/>
      <c r="H33" s="6"/>
      <c r="I33" s="6"/>
      <c r="J33" s="50"/>
      <c r="L33" s="41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5"/>
      <c r="B34" s="18" t="s">
        <v>36</v>
      </c>
      <c r="C34" s="52">
        <v>1400.0</v>
      </c>
      <c r="D34" s="45" t="s">
        <v>25</v>
      </c>
      <c r="E34" s="6"/>
      <c r="F34" s="6"/>
      <c r="G34" s="6"/>
      <c r="H34" s="6"/>
      <c r="I34" s="6"/>
      <c r="J34" s="50"/>
      <c r="L34" s="41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5"/>
      <c r="B35" s="53" t="s">
        <v>11</v>
      </c>
      <c r="C35" s="54">
        <f>SUM(C26:C34)</f>
        <v>165000</v>
      </c>
      <c r="D35" s="55"/>
      <c r="E35" s="6"/>
      <c r="F35" s="6"/>
      <c r="G35" s="6"/>
      <c r="H35" s="6"/>
      <c r="I35" s="6"/>
      <c r="J35" s="50"/>
      <c r="L35" s="41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5"/>
      <c r="B36" s="56"/>
      <c r="C36" s="57"/>
      <c r="D36" s="58"/>
      <c r="E36" s="6"/>
      <c r="F36" s="6"/>
      <c r="G36" s="6"/>
      <c r="H36" s="6"/>
      <c r="I36" s="6"/>
      <c r="J36" s="50"/>
      <c r="L36" s="47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5"/>
      <c r="B37" s="6"/>
      <c r="C37" s="6"/>
      <c r="D37" s="6"/>
      <c r="E37" s="6"/>
      <c r="F37" s="6"/>
      <c r="G37" s="6"/>
      <c r="H37" s="6"/>
      <c r="I37" s="6"/>
      <c r="J37" s="59" t="s">
        <v>37</v>
      </c>
      <c r="K37" s="60"/>
      <c r="L37" s="61">
        <f>SUM(L29:L36)</f>
        <v>4000</v>
      </c>
      <c r="M37" s="62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5"/>
      <c r="B38" s="6"/>
      <c r="C38" s="6"/>
      <c r="D38" s="6"/>
      <c r="E38" s="6"/>
      <c r="F38" s="6"/>
      <c r="G38" s="6"/>
      <c r="H38" s="6"/>
      <c r="I38" s="6"/>
      <c r="J38" s="63" t="s">
        <v>38</v>
      </c>
      <c r="K38" s="37"/>
      <c r="L38" s="38"/>
      <c r="M38" s="64">
        <f>L28+L37</f>
        <v>23000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5"/>
      <c r="B39" s="6"/>
      <c r="C39" s="6"/>
      <c r="D39" s="6"/>
      <c r="E39" s="6"/>
      <c r="F39" s="6"/>
      <c r="G39" s="6"/>
      <c r="H39" s="6"/>
      <c r="I39" s="6"/>
      <c r="J39" s="65" t="s">
        <v>39</v>
      </c>
      <c r="K39" s="37"/>
      <c r="L39" s="38"/>
      <c r="M39" s="66">
        <f>M17-M38</f>
        <v>473000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5"/>
      <c r="B40" s="6"/>
      <c r="C40" s="6"/>
      <c r="D40" s="6"/>
      <c r="E40" s="6"/>
      <c r="F40" s="6"/>
      <c r="G40" s="6"/>
      <c r="H40" s="6"/>
      <c r="I40" s="6"/>
      <c r="J40" s="67" t="s">
        <v>40</v>
      </c>
      <c r="K40" s="37"/>
      <c r="L40" s="38"/>
      <c r="M40" s="68">
        <f>M16-L28</f>
        <v>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5"/>
      <c r="B41" s="6"/>
      <c r="C41" s="6"/>
      <c r="D41" s="6"/>
      <c r="E41" s="6"/>
      <c r="F41" s="6"/>
      <c r="G41" s="6"/>
      <c r="H41" s="6"/>
      <c r="I41" s="6"/>
      <c r="J41" s="67" t="s">
        <v>41</v>
      </c>
      <c r="K41" s="37"/>
      <c r="L41" s="38"/>
      <c r="M41" s="68">
        <f>M11-L37</f>
        <v>473000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5"/>
      <c r="B46" s="6"/>
      <c r="C46" s="6"/>
      <c r="D46" s="6"/>
      <c r="E46" s="6"/>
      <c r="F46" s="6"/>
      <c r="G46" s="6"/>
      <c r="H46" s="6"/>
      <c r="I46" s="6"/>
      <c r="J46" s="69" t="s">
        <v>0</v>
      </c>
      <c r="K46" s="70"/>
      <c r="L46" s="44" t="s">
        <v>3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5"/>
      <c r="B47" s="6"/>
      <c r="C47" s="6"/>
      <c r="D47" s="6"/>
      <c r="E47" s="6"/>
      <c r="F47" s="6"/>
      <c r="G47" s="6"/>
      <c r="H47" s="6"/>
      <c r="I47" s="6"/>
      <c r="J47" s="71" t="s">
        <v>42</v>
      </c>
      <c r="K47" s="29"/>
      <c r="L47" s="72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5"/>
      <c r="B48" s="6"/>
      <c r="C48" s="6"/>
      <c r="D48" s="6"/>
      <c r="E48" s="6"/>
      <c r="F48" s="6"/>
      <c r="G48" s="6"/>
      <c r="H48" s="6"/>
      <c r="I48" s="6"/>
      <c r="J48" s="17"/>
      <c r="K48" s="4"/>
      <c r="L48" s="13">
        <v>66000.0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5"/>
      <c r="B49" s="6"/>
      <c r="C49" s="6"/>
      <c r="D49" s="6"/>
      <c r="E49" s="6"/>
      <c r="F49" s="6"/>
      <c r="G49" s="6"/>
      <c r="H49" s="6"/>
      <c r="I49" s="6"/>
      <c r="J49" s="5"/>
      <c r="K49" s="6"/>
      <c r="L49" s="12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5"/>
      <c r="B50" s="6"/>
      <c r="C50" s="6"/>
      <c r="D50" s="6"/>
      <c r="E50" s="6"/>
      <c r="F50" s="6"/>
      <c r="G50" s="6"/>
      <c r="H50" s="6"/>
      <c r="I50" s="6"/>
      <c r="J50" s="5"/>
      <c r="K50" s="6"/>
      <c r="L50" s="12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5"/>
      <c r="B51" s="6"/>
      <c r="C51" s="6"/>
      <c r="D51" s="6"/>
      <c r="E51" s="6"/>
      <c r="F51" s="6"/>
      <c r="G51" s="6"/>
      <c r="H51" s="6"/>
      <c r="I51" s="6"/>
      <c r="J51" s="5"/>
      <c r="K51" s="6"/>
      <c r="L51" s="12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5"/>
      <c r="B52" s="6"/>
      <c r="C52" s="6"/>
      <c r="D52" s="6"/>
      <c r="E52" s="6"/>
      <c r="F52" s="6"/>
      <c r="G52" s="6"/>
      <c r="H52" s="6"/>
      <c r="I52" s="6"/>
      <c r="J52" s="5"/>
      <c r="K52" s="6"/>
      <c r="L52" s="12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5"/>
      <c r="B53" s="6"/>
      <c r="C53" s="6"/>
      <c r="D53" s="6"/>
      <c r="E53" s="6"/>
      <c r="F53" s="6"/>
      <c r="G53" s="6"/>
      <c r="H53" s="6"/>
      <c r="I53" s="6"/>
      <c r="J53" s="5"/>
      <c r="K53" s="6"/>
      <c r="L53" s="12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5"/>
      <c r="B54" s="6"/>
      <c r="C54" s="6"/>
      <c r="D54" s="6"/>
      <c r="E54" s="6"/>
      <c r="F54" s="6"/>
      <c r="G54" s="6"/>
      <c r="H54" s="6"/>
      <c r="I54" s="6"/>
      <c r="J54" s="73" t="s">
        <v>43</v>
      </c>
      <c r="K54" s="38"/>
      <c r="L54" s="68">
        <f>SUM(L48:L53)</f>
        <v>66000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5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5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5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5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5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5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5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5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5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5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5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5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5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5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5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5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5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5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5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5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5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5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5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5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5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5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5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5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5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5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5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5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5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5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5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5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5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5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5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5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5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5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5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5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5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5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5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5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5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5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5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5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5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5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5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5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5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5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5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5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5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5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5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5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5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5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5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5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5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5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5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5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5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5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5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5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5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5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5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5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5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5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5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5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5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5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5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5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5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5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5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5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5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5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5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5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5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5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5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5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5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5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5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5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5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5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5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5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5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5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5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5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5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5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5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5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5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5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5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5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5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5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5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5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5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5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5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5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5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5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5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5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5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5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5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5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5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5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5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5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5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5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5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5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5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5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5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5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5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5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5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5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5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5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5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5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5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5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5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5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5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5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5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5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5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5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0" customHeight="1">
      <c r="A502" s="5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0" customHeight="1">
      <c r="A503" s="5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0" customHeight="1">
      <c r="A504" s="5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0" customHeight="1">
      <c r="A505" s="5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0" customHeight="1">
      <c r="A506" s="5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0" customHeight="1">
      <c r="A507" s="5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0" customHeight="1">
      <c r="A508" s="5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0" customHeight="1">
      <c r="A509" s="5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0" customHeight="1">
      <c r="A510" s="5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0" customHeight="1">
      <c r="A511" s="5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0" customHeight="1">
      <c r="A512" s="5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0" customHeight="1">
      <c r="A513" s="5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0" customHeight="1">
      <c r="A514" s="5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0" customHeight="1">
      <c r="A515" s="5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0" customHeight="1">
      <c r="A516" s="5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0" customHeight="1">
      <c r="A517" s="5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0" customHeight="1">
      <c r="A518" s="5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0" customHeight="1">
      <c r="A519" s="5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0" customHeight="1">
      <c r="A520" s="5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0" customHeight="1">
      <c r="A521" s="5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0" customHeight="1">
      <c r="A522" s="5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0" customHeight="1">
      <c r="A523" s="5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0" customHeight="1">
      <c r="A524" s="5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0" customHeight="1">
      <c r="A525" s="5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0" customHeight="1">
      <c r="A526" s="5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0" customHeight="1">
      <c r="A527" s="5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0" customHeight="1">
      <c r="A528" s="5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0" customHeight="1">
      <c r="A529" s="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0" customHeight="1">
      <c r="A530" s="5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0" customHeight="1">
      <c r="A531" s="5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0" customHeight="1">
      <c r="A532" s="5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0" customHeight="1">
      <c r="A533" s="5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0" customHeight="1">
      <c r="A534" s="5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0" customHeight="1">
      <c r="A535" s="5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0" customHeight="1">
      <c r="A536" s="5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0" customHeight="1">
      <c r="A537" s="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0" customHeight="1">
      <c r="A538" s="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0" customHeight="1">
      <c r="A539" s="5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0" customHeight="1">
      <c r="A540" s="5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0" customHeight="1">
      <c r="A541" s="5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0" customHeight="1">
      <c r="A542" s="5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0" customHeight="1">
      <c r="A543" s="5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0" customHeight="1">
      <c r="A544" s="5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0" customHeight="1">
      <c r="A545" s="5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0" customHeight="1">
      <c r="A546" s="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0" customHeight="1">
      <c r="A547" s="5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0" customHeight="1">
      <c r="A548" s="5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0" customHeight="1">
      <c r="A549" s="5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0" customHeight="1">
      <c r="A550" s="5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0" customHeight="1">
      <c r="A551" s="5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0" customHeight="1">
      <c r="A552" s="5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0" customHeight="1">
      <c r="A553" s="5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0" customHeight="1">
      <c r="A554" s="5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0" customHeight="1">
      <c r="A555" s="5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0" customHeight="1">
      <c r="A556" s="5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0" customHeight="1">
      <c r="A557" s="5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0" customHeight="1">
      <c r="A558" s="5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0" customHeight="1">
      <c r="A559" s="5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0" customHeight="1">
      <c r="A560" s="5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0" customHeight="1">
      <c r="A561" s="5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0" customHeight="1">
      <c r="A562" s="5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0" customHeight="1">
      <c r="A563" s="5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0" customHeight="1">
      <c r="A564" s="5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0" customHeight="1">
      <c r="A565" s="5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0" customHeight="1">
      <c r="A566" s="5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0" customHeight="1">
      <c r="A567" s="5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0" customHeight="1">
      <c r="A568" s="5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0" customHeight="1">
      <c r="A569" s="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0" customHeight="1">
      <c r="A570" s="5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0" customHeight="1">
      <c r="A571" s="5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0" customHeight="1">
      <c r="A572" s="5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0" customHeight="1">
      <c r="A573" s="5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0" customHeight="1">
      <c r="A574" s="5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0" customHeight="1">
      <c r="A575" s="5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0" customHeight="1">
      <c r="A576" s="5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0" customHeight="1">
      <c r="A577" s="5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0" customHeight="1">
      <c r="A578" s="5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0" customHeight="1">
      <c r="A579" s="5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0" customHeight="1">
      <c r="A580" s="5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0" customHeight="1">
      <c r="A581" s="5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0" customHeight="1">
      <c r="A582" s="5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0" customHeight="1">
      <c r="A583" s="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0" customHeight="1">
      <c r="A584" s="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0" customHeight="1">
      <c r="A585" s="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0" customHeight="1">
      <c r="A586" s="5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0" customHeight="1">
      <c r="A587" s="5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0" customHeight="1">
      <c r="A588" s="5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0" customHeight="1">
      <c r="A589" s="5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0" customHeight="1">
      <c r="A590" s="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0" customHeight="1">
      <c r="A591" s="5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0" customHeight="1">
      <c r="A592" s="5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0" customHeight="1">
      <c r="A593" s="5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0" customHeight="1">
      <c r="A594" s="5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0" customHeight="1">
      <c r="A595" s="5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0" customHeight="1">
      <c r="A596" s="5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0" customHeight="1">
      <c r="A597" s="5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0" customHeight="1">
      <c r="A598" s="5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0" customHeight="1">
      <c r="A599" s="5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0" customHeight="1">
      <c r="A600" s="5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0" customHeight="1">
      <c r="A601" s="5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0" customHeight="1">
      <c r="A602" s="5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0" customHeight="1">
      <c r="A603" s="5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0" customHeight="1">
      <c r="A604" s="5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0" customHeight="1">
      <c r="A605" s="5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0" customHeight="1">
      <c r="A606" s="5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0" customHeight="1">
      <c r="A607" s="5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0" customHeight="1">
      <c r="A608" s="5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0" customHeight="1">
      <c r="A609" s="5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0" customHeight="1">
      <c r="A610" s="5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0" customHeight="1">
      <c r="A611" s="5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5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0" customHeight="1">
      <c r="A613" s="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0" customHeight="1">
      <c r="A614" s="5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0" customHeight="1">
      <c r="A615" s="5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0" customHeight="1">
      <c r="A616" s="5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0" customHeight="1">
      <c r="A617" s="5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0" customHeight="1">
      <c r="A618" s="5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0" customHeight="1">
      <c r="A619" s="5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0" customHeight="1">
      <c r="A620" s="5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0" customHeight="1">
      <c r="A621" s="5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5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0" customHeight="1">
      <c r="A623" s="5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0" customHeight="1">
      <c r="A624" s="5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0" customHeight="1">
      <c r="A625" s="5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0" customHeight="1">
      <c r="A626" s="5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0" customHeight="1">
      <c r="A627" s="5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0" customHeight="1">
      <c r="A628" s="5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0" customHeight="1">
      <c r="A629" s="5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0" customHeight="1">
      <c r="A630" s="5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0" customHeight="1">
      <c r="A631" s="5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0" customHeight="1">
      <c r="A632" s="5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0" customHeight="1">
      <c r="A633" s="5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0" customHeight="1">
      <c r="A634" s="5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0" customHeight="1">
      <c r="A635" s="5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0" customHeight="1">
      <c r="A636" s="5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0" customHeight="1">
      <c r="A637" s="5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0" customHeight="1">
      <c r="A638" s="5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0" customHeight="1">
      <c r="A639" s="5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0" customHeight="1">
      <c r="A640" s="5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0" customHeight="1">
      <c r="A641" s="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0" customHeight="1">
      <c r="A642" s="5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0" customHeight="1">
      <c r="A643" s="5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5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0" customHeight="1">
      <c r="A645" s="5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0" customHeight="1">
      <c r="A646" s="5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0" customHeight="1">
      <c r="A647" s="5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0" customHeight="1">
      <c r="A648" s="5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0" customHeight="1">
      <c r="A649" s="5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0" customHeight="1">
      <c r="A650" s="5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0" customHeight="1">
      <c r="A651" s="5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0" customHeight="1">
      <c r="A652" s="5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0" customHeight="1">
      <c r="A653" s="5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0" customHeight="1">
      <c r="A654" s="5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0" customHeight="1">
      <c r="A655" s="5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0" customHeight="1">
      <c r="A656" s="5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0" customHeight="1">
      <c r="A657" s="5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0" customHeight="1">
      <c r="A658" s="5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0" customHeight="1">
      <c r="A659" s="5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0" customHeight="1">
      <c r="A660" s="5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0" customHeight="1">
      <c r="A661" s="5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0" customHeight="1">
      <c r="A662" s="5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0" customHeight="1">
      <c r="A663" s="5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0" customHeight="1">
      <c r="A664" s="5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0" customHeight="1">
      <c r="A665" s="5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0" customHeight="1">
      <c r="A666" s="5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0" customHeight="1">
      <c r="A667" s="5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0" customHeight="1">
      <c r="A668" s="5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0" customHeight="1">
      <c r="A669" s="5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0" customHeight="1">
      <c r="A670" s="5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0" customHeight="1">
      <c r="A671" s="5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0" customHeight="1">
      <c r="A672" s="5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0" customHeight="1">
      <c r="A673" s="5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0" customHeight="1">
      <c r="A674" s="5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0" customHeight="1">
      <c r="A675" s="5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0" customHeight="1">
      <c r="A676" s="5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0" customHeight="1">
      <c r="A677" s="5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0" customHeight="1">
      <c r="A678" s="5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0" customHeight="1">
      <c r="A679" s="5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0" customHeight="1">
      <c r="A680" s="5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0" customHeight="1">
      <c r="A681" s="5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0" customHeight="1">
      <c r="A682" s="5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0" customHeight="1">
      <c r="A683" s="5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0" customHeight="1">
      <c r="A684" s="5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0" customHeight="1">
      <c r="A685" s="5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0" customHeight="1">
      <c r="A686" s="5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0" customHeight="1">
      <c r="A687" s="5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0" customHeight="1">
      <c r="A688" s="5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0" customHeight="1">
      <c r="A689" s="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0" customHeight="1">
      <c r="A690" s="5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0" customHeight="1">
      <c r="A691" s="5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0" customHeight="1">
      <c r="A692" s="5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0" customHeight="1">
      <c r="A693" s="5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0" customHeight="1">
      <c r="A694" s="5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0" customHeight="1">
      <c r="A695" s="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0" customHeight="1">
      <c r="A696" s="5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0" customHeight="1">
      <c r="A697" s="5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0" customHeight="1">
      <c r="A698" s="5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0" customHeight="1">
      <c r="A699" s="5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0" customHeight="1">
      <c r="A700" s="5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0" customHeight="1">
      <c r="A701" s="5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0" customHeight="1">
      <c r="A702" s="5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0" customHeight="1">
      <c r="A703" s="5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0" customHeight="1">
      <c r="A704" s="5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0" customHeight="1">
      <c r="A705" s="5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0" customHeight="1">
      <c r="A706" s="5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0" customHeight="1">
      <c r="A707" s="5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0" customHeight="1">
      <c r="A708" s="5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0" customHeight="1">
      <c r="A709" s="5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0" customHeight="1">
      <c r="A710" s="5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0" customHeight="1">
      <c r="A711" s="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0" customHeight="1">
      <c r="A712" s="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0" customHeight="1">
      <c r="A713" s="5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0" customHeight="1">
      <c r="A714" s="5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0" customHeight="1">
      <c r="A715" s="5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0" customHeight="1">
      <c r="A716" s="5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0" customHeight="1">
      <c r="A717" s="5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0" customHeight="1">
      <c r="A718" s="5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0" customHeight="1">
      <c r="A719" s="5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0" customHeight="1">
      <c r="A720" s="5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0" customHeight="1">
      <c r="A721" s="5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0" customHeight="1">
      <c r="A722" s="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0" customHeight="1">
      <c r="A723" s="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0" customHeight="1">
      <c r="A724" s="5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0" customHeight="1">
      <c r="A725" s="5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0" customHeight="1">
      <c r="A726" s="5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0" customHeight="1">
      <c r="A727" s="5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0" customHeight="1">
      <c r="A728" s="5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0" customHeight="1">
      <c r="A729" s="5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0" customHeight="1">
      <c r="A730" s="5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0" customHeight="1">
      <c r="A731" s="5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0" customHeight="1">
      <c r="A732" s="5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0" customHeight="1">
      <c r="A733" s="5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0" customHeight="1">
      <c r="A734" s="5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0" customHeight="1">
      <c r="A735" s="5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0" customHeight="1">
      <c r="A736" s="5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0" customHeight="1">
      <c r="A737" s="5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0" customHeight="1">
      <c r="A738" s="5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0" customHeight="1">
      <c r="A739" s="5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0" customHeight="1">
      <c r="A740" s="5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0" customHeight="1">
      <c r="A741" s="5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0" customHeight="1">
      <c r="A742" s="5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0" customHeight="1">
      <c r="A743" s="5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0" customHeight="1">
      <c r="A744" s="5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0" customHeight="1">
      <c r="A745" s="5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0" customHeight="1">
      <c r="A746" s="5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0" customHeight="1">
      <c r="A747" s="5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0" customHeight="1">
      <c r="A748" s="5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0" customHeight="1">
      <c r="A749" s="5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0" customHeight="1">
      <c r="A750" s="5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0" customHeight="1">
      <c r="A751" s="5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0" customHeight="1">
      <c r="A752" s="5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0" customHeight="1">
      <c r="A753" s="5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0" customHeight="1">
      <c r="A754" s="5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0" customHeight="1">
      <c r="A755" s="5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0" customHeight="1">
      <c r="A756" s="5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0" customHeight="1">
      <c r="A757" s="5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0" customHeight="1">
      <c r="A758" s="5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0" customHeight="1">
      <c r="A759" s="5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0" customHeight="1">
      <c r="A760" s="5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0" customHeight="1">
      <c r="A761" s="5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0" customHeight="1">
      <c r="A762" s="5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0" customHeight="1">
      <c r="A763" s="5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0" customHeight="1">
      <c r="A764" s="5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0" customHeight="1">
      <c r="A765" s="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0" customHeight="1">
      <c r="A766" s="5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0" customHeight="1">
      <c r="A767" s="5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0" customHeight="1">
      <c r="A768" s="5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0" customHeight="1">
      <c r="A769" s="5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0" customHeight="1">
      <c r="A770" s="5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0" customHeight="1">
      <c r="A771" s="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0" customHeight="1">
      <c r="A772" s="5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0" customHeight="1">
      <c r="A773" s="5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0" customHeight="1">
      <c r="A774" s="5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0" customHeight="1">
      <c r="A775" s="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0" customHeight="1">
      <c r="A776" s="5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0" customHeight="1">
      <c r="A777" s="5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0" customHeight="1">
      <c r="A778" s="5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0" customHeight="1">
      <c r="A779" s="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0" customHeight="1">
      <c r="A780" s="5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0" customHeight="1">
      <c r="A781" s="5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0" customHeight="1">
      <c r="A782" s="5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0" customHeight="1">
      <c r="A783" s="5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0" customHeight="1">
      <c r="A784" s="5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0" customHeight="1">
      <c r="A785" s="5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0" customHeight="1">
      <c r="A786" s="5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0" customHeight="1">
      <c r="A787" s="5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0" customHeight="1">
      <c r="A788" s="5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0" customHeight="1">
      <c r="A789" s="5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0" customHeight="1">
      <c r="A790" s="5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0" customHeight="1">
      <c r="A791" s="5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0" customHeight="1">
      <c r="A792" s="5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0" customHeight="1">
      <c r="A793" s="5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0" customHeight="1">
      <c r="A794" s="5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0" customHeight="1">
      <c r="A795" s="5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0" customHeight="1">
      <c r="A796" s="5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0" customHeight="1">
      <c r="A797" s="5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0" customHeight="1">
      <c r="A798" s="5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0" customHeight="1">
      <c r="A799" s="5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0" customHeight="1">
      <c r="A800" s="5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0" customHeight="1">
      <c r="A801" s="5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0" customHeight="1">
      <c r="A802" s="5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0" customHeight="1">
      <c r="A803" s="5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0" customHeight="1">
      <c r="A804" s="5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0" customHeight="1">
      <c r="A805" s="5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0" customHeight="1">
      <c r="A806" s="5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0" customHeight="1">
      <c r="A807" s="5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0" customHeight="1">
      <c r="A808" s="5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0" customHeight="1">
      <c r="A809" s="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0" customHeight="1">
      <c r="A810" s="5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0" customHeight="1">
      <c r="A811" s="5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0" customHeight="1">
      <c r="A812" s="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0" customHeight="1">
      <c r="A813" s="5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0" customHeight="1">
      <c r="A814" s="5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0" customHeight="1">
      <c r="A815" s="5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0" customHeight="1">
      <c r="A816" s="5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0" customHeight="1">
      <c r="A817" s="5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0" customHeight="1">
      <c r="A818" s="5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0" customHeight="1">
      <c r="A819" s="5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0" customHeight="1">
      <c r="A820" s="5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0" customHeight="1">
      <c r="A821" s="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0" customHeight="1">
      <c r="A822" s="5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0" customHeight="1">
      <c r="A823" s="5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0" customHeight="1">
      <c r="A824" s="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0" customHeight="1">
      <c r="A825" s="5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0" customHeight="1">
      <c r="A826" s="5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0" customHeight="1">
      <c r="A827" s="5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0" customHeight="1">
      <c r="A828" s="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0" customHeight="1">
      <c r="A829" s="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0" customHeight="1">
      <c r="A830" s="5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0" customHeight="1">
      <c r="A831" s="5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0" customHeight="1">
      <c r="A832" s="5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0" customHeight="1">
      <c r="A833" s="5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0" customHeight="1">
      <c r="A834" s="5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0" customHeight="1">
      <c r="A835" s="5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0" customHeight="1">
      <c r="A836" s="5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0" customHeight="1">
      <c r="A837" s="5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0" customHeight="1">
      <c r="A838" s="5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0" customHeight="1">
      <c r="A839" s="5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0" customHeight="1">
      <c r="A840" s="5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0" customHeight="1">
      <c r="A841" s="5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0" customHeight="1">
      <c r="A842" s="5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0" customHeight="1">
      <c r="A843" s="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0" customHeight="1">
      <c r="A844" s="5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0" customHeight="1">
      <c r="A845" s="5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0" customHeight="1">
      <c r="A846" s="5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0" customHeight="1">
      <c r="A847" s="5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0" customHeight="1">
      <c r="A848" s="5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0" customHeight="1">
      <c r="A849" s="5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0" customHeight="1">
      <c r="A850" s="5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0" customHeight="1">
      <c r="A851" s="5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0" customHeight="1">
      <c r="A852" s="5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0" customHeight="1">
      <c r="A853" s="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0" customHeight="1">
      <c r="A854" s="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0" customHeight="1">
      <c r="A855" s="5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0" customHeight="1">
      <c r="A856" s="5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0" customHeight="1">
      <c r="A857" s="5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0" customHeight="1">
      <c r="A858" s="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0" customHeight="1">
      <c r="A859" s="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0" customHeight="1">
      <c r="A860" s="5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0" customHeight="1">
      <c r="A861" s="5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0" customHeight="1">
      <c r="A862" s="5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0" customHeight="1">
      <c r="A863" s="5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0" customHeight="1">
      <c r="A864" s="5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0" customHeight="1">
      <c r="A865" s="5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0" customHeight="1">
      <c r="A866" s="5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0" customHeight="1">
      <c r="A867" s="5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0" customHeight="1">
      <c r="A868" s="5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0" customHeight="1">
      <c r="A869" s="5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0" customHeight="1">
      <c r="A870" s="5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0" customHeight="1">
      <c r="A871" s="5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0" customHeight="1">
      <c r="A872" s="5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0" customHeight="1">
      <c r="A873" s="5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0" customHeight="1">
      <c r="A874" s="5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0" customHeight="1">
      <c r="A875" s="5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0" customHeight="1">
      <c r="A876" s="5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0" customHeight="1">
      <c r="A877" s="5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0" customHeight="1">
      <c r="A878" s="5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0" customHeight="1">
      <c r="A879" s="5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0" customHeight="1">
      <c r="A880" s="5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0" customHeight="1">
      <c r="A881" s="5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0" customHeight="1">
      <c r="A882" s="5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0" customHeight="1">
      <c r="A883" s="5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0" customHeight="1">
      <c r="A884" s="5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0" customHeight="1">
      <c r="A885" s="5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0" customHeight="1">
      <c r="A886" s="5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0" customHeight="1">
      <c r="A887" s="5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0" customHeight="1">
      <c r="A888" s="5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0" customHeight="1">
      <c r="A889" s="5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0" customHeight="1">
      <c r="A890" s="5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0" customHeight="1">
      <c r="A891" s="5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0" customHeight="1">
      <c r="A892" s="5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0" customHeight="1">
      <c r="A893" s="5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0" customHeight="1">
      <c r="A894" s="5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0" customHeight="1">
      <c r="A895" s="5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0" customHeight="1">
      <c r="A896" s="5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0" customHeight="1">
      <c r="A897" s="5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0" customHeight="1">
      <c r="A898" s="5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0" customHeight="1">
      <c r="A899" s="5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0" customHeight="1">
      <c r="A900" s="5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0" customHeight="1">
      <c r="A901" s="5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0" customHeight="1">
      <c r="A902" s="5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0" customHeight="1">
      <c r="A903" s="5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0" customHeight="1">
      <c r="A904" s="5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0" customHeight="1">
      <c r="A905" s="5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0" customHeight="1">
      <c r="A906" s="5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0" customHeight="1">
      <c r="A907" s="5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0" customHeight="1">
      <c r="A908" s="5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0" customHeight="1">
      <c r="A909" s="5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0" customHeight="1">
      <c r="A910" s="5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0" customHeight="1">
      <c r="A911" s="5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0" customHeight="1">
      <c r="A912" s="5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0" customHeight="1">
      <c r="A913" s="5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0" customHeight="1">
      <c r="A914" s="5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0" customHeight="1">
      <c r="A915" s="5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0" customHeight="1">
      <c r="A916" s="5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0" customHeight="1">
      <c r="A917" s="5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0" customHeight="1">
      <c r="A918" s="5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0" customHeight="1">
      <c r="A919" s="5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0" customHeight="1">
      <c r="A920" s="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0" customHeight="1">
      <c r="A921" s="5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0" customHeight="1">
      <c r="A922" s="5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0" customHeight="1">
      <c r="A923" s="5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0" customHeight="1">
      <c r="A924" s="5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0" customHeight="1">
      <c r="A925" s="5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0" customHeight="1">
      <c r="A926" s="5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0" customHeight="1">
      <c r="A927" s="5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0" customHeight="1">
      <c r="A928" s="5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0" customHeight="1">
      <c r="A929" s="5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0" customHeight="1">
      <c r="A930" s="5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0" customHeight="1">
      <c r="A931" s="5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0" customHeight="1">
      <c r="A932" s="5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0" customHeight="1">
      <c r="A933" s="5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0" customHeight="1">
      <c r="A934" s="5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0" customHeight="1">
      <c r="A935" s="5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0" customHeight="1">
      <c r="A936" s="5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0" customHeight="1">
      <c r="A937" s="5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0" customHeight="1">
      <c r="A938" s="5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0" customHeight="1">
      <c r="A939" s="5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0" customHeight="1">
      <c r="A940" s="5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0" customHeight="1">
      <c r="A941" s="5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0" customHeight="1">
      <c r="A942" s="5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0" customHeight="1">
      <c r="A943" s="5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0" customHeight="1">
      <c r="A944" s="5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0" customHeight="1">
      <c r="A945" s="5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0" customHeight="1">
      <c r="A946" s="5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0" customHeight="1">
      <c r="A947" s="5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0" customHeight="1">
      <c r="A948" s="5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0" customHeight="1">
      <c r="A949" s="5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0" customHeight="1">
      <c r="A950" s="5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0" customHeight="1">
      <c r="A951" s="5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0" customHeight="1">
      <c r="A952" s="5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0" customHeight="1">
      <c r="A953" s="5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0" customHeight="1">
      <c r="A954" s="5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0" customHeight="1">
      <c r="A955" s="5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0" customHeight="1">
      <c r="A956" s="5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0" customHeight="1">
      <c r="A957" s="5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0" customHeight="1">
      <c r="A958" s="5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0" customHeight="1">
      <c r="A959" s="5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0" customHeight="1">
      <c r="A960" s="5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0" customHeight="1">
      <c r="A961" s="5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0" customHeight="1">
      <c r="A962" s="5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0" customHeight="1">
      <c r="A963" s="5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0" customHeight="1">
      <c r="A964" s="5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0" customHeight="1">
      <c r="A965" s="5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0" customHeight="1">
      <c r="A966" s="5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0" customHeight="1">
      <c r="A967" s="5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0" customHeight="1">
      <c r="A968" s="5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0" customHeight="1">
      <c r="A969" s="5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0" customHeight="1">
      <c r="A970" s="5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0" customHeight="1">
      <c r="A971" s="5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0" customHeight="1">
      <c r="A972" s="5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0" customHeight="1">
      <c r="A973" s="5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0" customHeight="1">
      <c r="A974" s="5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0" customHeight="1">
      <c r="A975" s="5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0" customHeight="1">
      <c r="A976" s="5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0" customHeight="1">
      <c r="A977" s="5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0" customHeight="1">
      <c r="A978" s="5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0" customHeight="1">
      <c r="A979" s="5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0" customHeight="1">
      <c r="A980" s="5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0" customHeight="1">
      <c r="A981" s="5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0" customHeight="1">
      <c r="A982" s="5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0" customHeight="1">
      <c r="A983" s="5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0" customHeight="1">
      <c r="A984" s="5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0" customHeight="1">
      <c r="A985" s="5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0" customHeight="1">
      <c r="A986" s="5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0" customHeight="1">
      <c r="A987" s="5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0" customHeight="1">
      <c r="A988" s="5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0" customHeight="1">
      <c r="A989" s="5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0" customHeight="1">
      <c r="A990" s="5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0" customHeight="1">
      <c r="A991" s="5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0" customHeight="1">
      <c r="A992" s="5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0" customHeight="1">
      <c r="A993" s="5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0" customHeight="1">
      <c r="A994" s="5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0" customHeight="1">
      <c r="A995" s="5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0" customHeight="1">
      <c r="A996" s="5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0" customHeight="1">
      <c r="A997" s="5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0" customHeight="1">
      <c r="A998" s="5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8.0" customHeight="1">
      <c r="A999" s="5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8.0" customHeight="1">
      <c r="A1000" s="5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5">
    <mergeCell ref="A1:F1"/>
    <mergeCell ref="J6:K6"/>
    <mergeCell ref="J7:L7"/>
    <mergeCell ref="J12:L12"/>
    <mergeCell ref="B14:C14"/>
    <mergeCell ref="J17:L17"/>
    <mergeCell ref="J18:K18"/>
    <mergeCell ref="J19:K19"/>
    <mergeCell ref="J20:K20"/>
    <mergeCell ref="J21:K21"/>
    <mergeCell ref="J22:K22"/>
    <mergeCell ref="J23:K23"/>
    <mergeCell ref="J24:K24"/>
    <mergeCell ref="J25:K25"/>
    <mergeCell ref="J33:K33"/>
    <mergeCell ref="J34:K34"/>
    <mergeCell ref="B35:B36"/>
    <mergeCell ref="C35:D36"/>
    <mergeCell ref="J35:K35"/>
    <mergeCell ref="J36:K36"/>
    <mergeCell ref="J37:K37"/>
    <mergeCell ref="J38:L38"/>
    <mergeCell ref="J39:L39"/>
    <mergeCell ref="J40:L40"/>
    <mergeCell ref="J41:L41"/>
    <mergeCell ref="J46:K46"/>
    <mergeCell ref="J47:L47"/>
    <mergeCell ref="J54:K54"/>
    <mergeCell ref="J26:K26"/>
    <mergeCell ref="J27:K27"/>
    <mergeCell ref="J28:K28"/>
    <mergeCell ref="J29:K29"/>
    <mergeCell ref="J30:K30"/>
    <mergeCell ref="J31:K31"/>
    <mergeCell ref="J32:K3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A3" s="74">
        <f>6913898 </f>
        <v>6913898</v>
      </c>
    </row>
    <row r="4">
      <c r="A4" s="74">
        <f>479991</f>
        <v>479991</v>
      </c>
    </row>
    <row r="5">
      <c r="A5" s="74">
        <f>A3-A4</f>
        <v>6433907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29"/>
    <col customWidth="1" min="3" max="3" width="19.71"/>
    <col customWidth="1" min="4" max="4" width="19.0"/>
    <col customWidth="1" min="5" max="9" width="8.71"/>
    <col customWidth="1" min="10" max="10" width="16.14"/>
    <col customWidth="1" min="11" max="11" width="33.29"/>
    <col customWidth="1" min="12" max="12" width="19.29"/>
    <col customWidth="1" min="13" max="13" width="21.0"/>
    <col customWidth="1" min="14" max="26" width="8.71"/>
  </cols>
  <sheetData>
    <row r="1" ht="14.25" customHeight="1">
      <c r="A1" s="1" t="s">
        <v>44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2</v>
      </c>
      <c r="K4" s="6"/>
      <c r="L4" s="6"/>
      <c r="M4" s="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9" t="s">
        <v>44</v>
      </c>
      <c r="K6" s="10"/>
      <c r="L6" s="11" t="s">
        <v>3</v>
      </c>
      <c r="M6" s="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</row>
    <row r="8" ht="14.25" customHeight="1">
      <c r="A8" s="5"/>
      <c r="B8" s="17"/>
      <c r="C8" s="17" t="s">
        <v>6</v>
      </c>
      <c r="D8" s="18">
        <v>40000.0</v>
      </c>
      <c r="E8" s="6"/>
      <c r="F8" s="6"/>
      <c r="G8" s="6"/>
      <c r="H8" s="6"/>
      <c r="I8" s="6"/>
      <c r="J8" s="19"/>
      <c r="K8" s="4"/>
      <c r="L8" s="20">
        <v>400000.0</v>
      </c>
      <c r="M8" s="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22"/>
      <c r="K9" s="6"/>
      <c r="L9" s="23">
        <v>77000.0</v>
      </c>
      <c r="M9" s="6"/>
    </row>
    <row r="10" ht="14.25" customHeight="1">
      <c r="A10" s="5"/>
      <c r="B10" s="5"/>
      <c r="C10" s="5" t="s">
        <v>8</v>
      </c>
      <c r="D10" s="24">
        <v>90000.0</v>
      </c>
      <c r="E10" s="6"/>
      <c r="F10" s="6"/>
      <c r="G10" s="6"/>
      <c r="H10" s="6"/>
      <c r="I10" s="6"/>
      <c r="J10" s="22"/>
      <c r="K10" s="6"/>
      <c r="L10" s="23">
        <v>77000.0</v>
      </c>
      <c r="M10" s="6"/>
    </row>
    <row r="11" ht="14.25" customHeight="1">
      <c r="A11" s="5"/>
      <c r="B11" s="17"/>
      <c r="C11" s="18"/>
      <c r="D11" s="25"/>
      <c r="E11" s="6"/>
      <c r="F11" s="6"/>
      <c r="G11" s="6"/>
      <c r="H11" s="6"/>
      <c r="I11" s="6"/>
      <c r="J11" s="22"/>
      <c r="K11" s="6"/>
      <c r="L11" s="23"/>
      <c r="M11" s="26">
        <f>SUM(L8:L11)</f>
        <v>554000</v>
      </c>
    </row>
    <row r="12" ht="14.25" customHeight="1">
      <c r="A12" s="5"/>
      <c r="B12" s="5"/>
      <c r="C12" s="21" t="s">
        <v>9</v>
      </c>
      <c r="D12" s="27">
        <v>35000.0</v>
      </c>
      <c r="E12" s="6"/>
      <c r="F12" s="6"/>
      <c r="G12" s="6"/>
      <c r="H12" s="6"/>
      <c r="I12" s="6"/>
      <c r="J12" s="28" t="s">
        <v>10</v>
      </c>
      <c r="K12" s="29"/>
      <c r="L12" s="30"/>
      <c r="M12" s="6"/>
    </row>
    <row r="13" ht="14.25" customHeight="1">
      <c r="A13" s="5"/>
      <c r="B13" s="31"/>
      <c r="C13" s="31"/>
      <c r="D13" s="13"/>
      <c r="E13" s="6"/>
      <c r="F13" s="6"/>
      <c r="G13" s="6"/>
      <c r="H13" s="6"/>
      <c r="I13" s="6"/>
      <c r="J13" s="19"/>
      <c r="K13" s="4"/>
      <c r="L13" s="20">
        <v>19000.0</v>
      </c>
      <c r="M13" s="6"/>
    </row>
    <row r="14" ht="14.25" customHeight="1">
      <c r="A14" s="5"/>
      <c r="B14" s="32" t="s">
        <v>11</v>
      </c>
      <c r="C14" s="33"/>
      <c r="D14" s="34">
        <f>SUM(D8:D12)</f>
        <v>165000</v>
      </c>
      <c r="E14" s="6"/>
      <c r="F14" s="6"/>
      <c r="G14" s="6"/>
      <c r="H14" s="6"/>
      <c r="I14" s="6"/>
      <c r="J14" s="22"/>
      <c r="K14" s="6"/>
      <c r="L14" s="23"/>
      <c r="M14" s="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22"/>
      <c r="K15" s="6"/>
      <c r="L15" s="23"/>
      <c r="M15" s="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K16" s="6"/>
      <c r="L16" s="23"/>
      <c r="M16" s="26">
        <f>SUM(L13:L16)</f>
        <v>19000</v>
      </c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63" t="s">
        <v>38</v>
      </c>
      <c r="K17" s="37"/>
      <c r="L17" s="38"/>
      <c r="M17" s="64">
        <f>23000</f>
        <v>23000</v>
      </c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36" t="s">
        <v>12</v>
      </c>
      <c r="K18" s="37"/>
      <c r="L18" s="38"/>
      <c r="M18" s="39">
        <f>M11+M16-M17</f>
        <v>550000</v>
      </c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40"/>
      <c r="M19" s="6"/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22"/>
      <c r="L20" s="41"/>
      <c r="M20" s="6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22"/>
      <c r="L21" s="41"/>
      <c r="M21" s="6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22"/>
      <c r="L22" s="41"/>
      <c r="M22" s="6"/>
    </row>
    <row r="23" ht="14.25" customHeight="1">
      <c r="A23" s="6"/>
      <c r="B23" s="42" t="s">
        <v>17</v>
      </c>
      <c r="C23" s="6"/>
      <c r="D23" s="6"/>
      <c r="E23" s="6"/>
      <c r="F23" s="6"/>
      <c r="G23" s="6"/>
      <c r="H23" s="6"/>
      <c r="I23" s="6"/>
      <c r="J23" s="22"/>
      <c r="L23" s="41"/>
      <c r="M23" s="6"/>
    </row>
    <row r="24" ht="14.25" customHeight="1">
      <c r="A24" s="6"/>
      <c r="B24" s="8" t="s">
        <v>44</v>
      </c>
      <c r="C24" s="8"/>
      <c r="D24" s="6"/>
      <c r="E24" s="6"/>
      <c r="F24" s="6"/>
      <c r="G24" s="6"/>
      <c r="H24" s="6"/>
      <c r="I24" s="6"/>
      <c r="J24" s="22"/>
      <c r="L24" s="41"/>
      <c r="M24" s="6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22"/>
      <c r="L25" s="41"/>
      <c r="M25" s="6"/>
    </row>
    <row r="26" ht="14.25" customHeight="1">
      <c r="A26" s="5"/>
      <c r="B26" s="25"/>
      <c r="C26" s="27" t="s">
        <v>3</v>
      </c>
      <c r="D26" s="43" t="s">
        <v>45</v>
      </c>
      <c r="E26" s="6"/>
      <c r="F26" s="6"/>
      <c r="G26" s="6"/>
      <c r="H26" s="6"/>
      <c r="I26" s="6"/>
      <c r="J26" s="22"/>
      <c r="L26" s="41"/>
      <c r="M26" s="6"/>
    </row>
    <row r="27" ht="14.25" customHeight="1">
      <c r="A27" s="5"/>
      <c r="B27" s="24" t="s">
        <v>24</v>
      </c>
      <c r="C27" s="44">
        <v>35000.0</v>
      </c>
      <c r="D27" s="45" t="s">
        <v>25</v>
      </c>
      <c r="E27" s="6"/>
      <c r="F27" s="6"/>
      <c r="G27" s="6"/>
      <c r="H27" s="6"/>
      <c r="I27" s="6"/>
      <c r="J27" s="22"/>
      <c r="L27" s="41"/>
      <c r="M27" s="6"/>
    </row>
    <row r="28" ht="14.25" customHeight="1">
      <c r="A28" s="6"/>
      <c r="B28" s="44" t="s">
        <v>26</v>
      </c>
      <c r="C28" s="44">
        <v>5000.0</v>
      </c>
      <c r="D28" s="45" t="s">
        <v>25</v>
      </c>
      <c r="E28" s="6"/>
      <c r="F28" s="6"/>
      <c r="G28" s="6"/>
      <c r="H28" s="6"/>
      <c r="I28" s="6"/>
      <c r="J28" s="22"/>
      <c r="K28" s="46"/>
      <c r="L28" s="47"/>
      <c r="M28" s="6"/>
    </row>
    <row r="29" ht="14.25" customHeight="1">
      <c r="A29" s="5"/>
      <c r="B29" s="44" t="s">
        <v>27</v>
      </c>
      <c r="C29" s="44">
        <v>600.0</v>
      </c>
      <c r="D29" s="45" t="s">
        <v>25</v>
      </c>
      <c r="E29" s="6"/>
      <c r="F29" s="6"/>
      <c r="G29" s="6"/>
      <c r="H29" s="6"/>
      <c r="I29" s="6"/>
      <c r="J29" s="48" t="s">
        <v>46</v>
      </c>
      <c r="K29" s="38"/>
      <c r="L29" s="49">
        <f>SUM(L19:L28)</f>
        <v>0</v>
      </c>
      <c r="M29" s="6"/>
    </row>
    <row r="30" ht="14.25" customHeight="1">
      <c r="A30" s="5"/>
      <c r="B30" s="44" t="s">
        <v>29</v>
      </c>
      <c r="C30" s="44">
        <v>77000.0</v>
      </c>
      <c r="D30" s="45" t="s">
        <v>25</v>
      </c>
      <c r="E30" s="6"/>
      <c r="F30" s="6"/>
      <c r="G30" s="6"/>
      <c r="H30" s="6"/>
      <c r="I30" s="6"/>
      <c r="J30" s="50" t="s">
        <v>47</v>
      </c>
      <c r="L30" s="51">
        <v>23400.0</v>
      </c>
      <c r="M30" s="6"/>
    </row>
    <row r="31" ht="14.25" customHeight="1">
      <c r="A31" s="5"/>
      <c r="B31" s="44" t="s">
        <v>31</v>
      </c>
      <c r="C31" s="44">
        <v>5000.0</v>
      </c>
      <c r="D31" s="45" t="s">
        <v>25</v>
      </c>
      <c r="E31" s="6"/>
      <c r="F31" s="6"/>
      <c r="G31" s="6"/>
      <c r="H31" s="6"/>
      <c r="I31" s="6"/>
      <c r="J31" s="50" t="s">
        <v>48</v>
      </c>
      <c r="L31" s="41">
        <v>7500.0</v>
      </c>
      <c r="M31" s="6"/>
    </row>
    <row r="32" ht="14.25" customHeight="1">
      <c r="A32" s="5"/>
      <c r="B32" s="44" t="s">
        <v>33</v>
      </c>
      <c r="C32" s="44">
        <v>8000.0</v>
      </c>
      <c r="D32" s="45" t="s">
        <v>25</v>
      </c>
      <c r="E32" s="6"/>
      <c r="F32" s="6"/>
      <c r="G32" s="6"/>
      <c r="H32" s="6"/>
      <c r="I32" s="6"/>
      <c r="J32" s="50" t="s">
        <v>49</v>
      </c>
      <c r="L32" s="41">
        <v>3800.0</v>
      </c>
      <c r="M32" s="6"/>
    </row>
    <row r="33" ht="14.25" customHeight="1">
      <c r="A33" s="5"/>
      <c r="B33" s="44" t="s">
        <v>34</v>
      </c>
      <c r="C33" s="44">
        <v>10000.0</v>
      </c>
      <c r="D33" s="45" t="s">
        <v>25</v>
      </c>
      <c r="E33" s="6"/>
      <c r="F33" s="6"/>
      <c r="G33" s="6"/>
      <c r="H33" s="6"/>
      <c r="I33" s="6"/>
      <c r="J33" s="50" t="s">
        <v>50</v>
      </c>
      <c r="L33" s="41">
        <v>600.0</v>
      </c>
      <c r="M33" s="6"/>
    </row>
    <row r="34" ht="14.25" customHeight="1">
      <c r="A34" s="5"/>
      <c r="B34" s="44" t="s">
        <v>35</v>
      </c>
      <c r="C34" s="44">
        <v>23000.0</v>
      </c>
      <c r="D34" s="45" t="s">
        <v>25</v>
      </c>
      <c r="E34" s="6"/>
      <c r="F34" s="6"/>
      <c r="G34" s="6"/>
      <c r="H34" s="6"/>
      <c r="I34" s="6"/>
      <c r="J34" s="50" t="s">
        <v>51</v>
      </c>
      <c r="L34" s="41">
        <v>1000.0</v>
      </c>
      <c r="M34" s="6"/>
    </row>
    <row r="35" ht="14.25" customHeight="1">
      <c r="A35" s="5"/>
      <c r="B35" s="18" t="s">
        <v>36</v>
      </c>
      <c r="C35" s="52">
        <v>1400.0</v>
      </c>
      <c r="D35" s="45" t="s">
        <v>25</v>
      </c>
      <c r="E35" s="6"/>
      <c r="F35" s="6"/>
      <c r="G35" s="6"/>
      <c r="H35" s="6"/>
      <c r="I35" s="6"/>
      <c r="J35" s="50" t="s">
        <v>52</v>
      </c>
      <c r="L35" s="41">
        <v>1000.0</v>
      </c>
      <c r="M35" s="6"/>
    </row>
    <row r="36" ht="14.25" customHeight="1">
      <c r="A36" s="5"/>
      <c r="B36" s="53" t="s">
        <v>11</v>
      </c>
      <c r="C36" s="54">
        <f>SUM(C27:C35)</f>
        <v>165000</v>
      </c>
      <c r="D36" s="55"/>
      <c r="E36" s="6"/>
      <c r="F36" s="6"/>
      <c r="G36" s="6"/>
      <c r="H36" s="6"/>
      <c r="I36" s="6"/>
      <c r="J36" s="50" t="s">
        <v>53</v>
      </c>
      <c r="L36" s="41">
        <v>1000.0</v>
      </c>
      <c r="M36" s="6"/>
    </row>
    <row r="37" ht="14.25" customHeight="1">
      <c r="A37" s="5"/>
      <c r="B37" s="56"/>
      <c r="C37" s="57"/>
      <c r="D37" s="58"/>
      <c r="E37" s="6"/>
      <c r="F37" s="6"/>
      <c r="G37" s="6"/>
      <c r="H37" s="6"/>
      <c r="I37" s="6"/>
      <c r="J37" s="50"/>
      <c r="L37" s="47"/>
      <c r="M37" s="6"/>
    </row>
    <row r="38" ht="14.25" customHeight="1">
      <c r="A38" s="5"/>
      <c r="B38" s="6"/>
      <c r="C38" s="6"/>
      <c r="D38" s="6"/>
      <c r="E38" s="6"/>
      <c r="F38" s="6"/>
      <c r="G38" s="6"/>
      <c r="H38" s="6"/>
      <c r="I38" s="6"/>
      <c r="J38" s="59" t="s">
        <v>54</v>
      </c>
      <c r="K38" s="60"/>
      <c r="L38" s="61">
        <f>SUM(L30:L37)</f>
        <v>38300</v>
      </c>
      <c r="M38" s="62"/>
    </row>
    <row r="39" ht="14.25" customHeight="1">
      <c r="A39" s="5"/>
      <c r="B39" s="6"/>
      <c r="C39" s="6"/>
      <c r="D39" s="6"/>
      <c r="E39" s="6"/>
      <c r="F39" s="6"/>
      <c r="G39" s="6"/>
      <c r="H39" s="6"/>
      <c r="I39" s="6"/>
      <c r="J39" s="63" t="s">
        <v>55</v>
      </c>
      <c r="K39" s="37"/>
      <c r="L39" s="38"/>
      <c r="M39" s="64">
        <f>L38+L29</f>
        <v>38300</v>
      </c>
    </row>
    <row r="40" ht="14.25" customHeight="1">
      <c r="A40" s="5"/>
      <c r="B40" s="6"/>
      <c r="C40" s="6"/>
      <c r="D40" s="6"/>
      <c r="E40" s="6"/>
      <c r="F40" s="6"/>
      <c r="G40" s="6"/>
      <c r="H40" s="6"/>
      <c r="I40" s="6"/>
      <c r="J40" s="65" t="s">
        <v>39</v>
      </c>
      <c r="K40" s="37"/>
      <c r="L40" s="38"/>
      <c r="M40" s="66">
        <f>M18-M39</f>
        <v>511700</v>
      </c>
    </row>
    <row r="41" ht="14.25" customHeight="1">
      <c r="A41" s="5"/>
      <c r="B41" s="6"/>
      <c r="C41" s="6"/>
      <c r="D41" s="6"/>
      <c r="E41" s="6"/>
      <c r="F41" s="6"/>
      <c r="G41" s="6"/>
      <c r="H41" s="6"/>
      <c r="I41" s="6"/>
      <c r="J41" s="67" t="s">
        <v>40</v>
      </c>
      <c r="K41" s="37"/>
      <c r="L41" s="38"/>
      <c r="M41" s="68">
        <v>0.0</v>
      </c>
    </row>
    <row r="42" ht="14.25" customHeight="1">
      <c r="A42" s="5"/>
      <c r="B42" s="6"/>
      <c r="C42" s="6"/>
      <c r="D42" s="6"/>
      <c r="E42" s="6"/>
      <c r="F42" s="6"/>
      <c r="G42" s="6"/>
      <c r="H42" s="6"/>
      <c r="I42" s="6"/>
      <c r="J42" s="67" t="s">
        <v>56</v>
      </c>
      <c r="K42" s="37"/>
      <c r="L42" s="38"/>
      <c r="M42" s="68">
        <f>M40</f>
        <v>511700</v>
      </c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69" t="s">
        <v>44</v>
      </c>
      <c r="K47" s="70"/>
      <c r="L47" s="44" t="s">
        <v>3</v>
      </c>
      <c r="M47" s="6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71" t="s">
        <v>42</v>
      </c>
      <c r="K48" s="29"/>
      <c r="L48" s="72"/>
      <c r="M48" s="6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17"/>
      <c r="K49" s="4"/>
      <c r="L49" s="13">
        <v>66000.0</v>
      </c>
      <c r="M49" s="6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5"/>
      <c r="K50" s="6"/>
      <c r="L50" s="12">
        <v>5000.0</v>
      </c>
      <c r="M50" s="6"/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5"/>
      <c r="K51" s="6"/>
      <c r="L51" s="12"/>
      <c r="M51" s="6"/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5"/>
      <c r="K52" s="6"/>
      <c r="L52" s="12"/>
      <c r="M52" s="6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5"/>
      <c r="K53" s="6"/>
      <c r="L53" s="12"/>
      <c r="M53" s="6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5"/>
      <c r="K54" s="6"/>
      <c r="L54" s="12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73" t="s">
        <v>43</v>
      </c>
      <c r="K55" s="38"/>
      <c r="L55" s="68">
        <f>SUM(L49:L54)</f>
        <v>71000</v>
      </c>
      <c r="M55" s="6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ht="14.25" customHeight="1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ht="14.25" customHeight="1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1:F1"/>
    <mergeCell ref="J6:K6"/>
    <mergeCell ref="J7:L7"/>
    <mergeCell ref="J12:L12"/>
    <mergeCell ref="B14:C14"/>
    <mergeCell ref="J17:L17"/>
    <mergeCell ref="J18:L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8:K38"/>
    <mergeCell ref="J39:L39"/>
    <mergeCell ref="J40:L40"/>
    <mergeCell ref="J41:L41"/>
    <mergeCell ref="J42:L42"/>
    <mergeCell ref="J47:K47"/>
    <mergeCell ref="J48:L48"/>
    <mergeCell ref="J55:K55"/>
    <mergeCell ref="J33:K33"/>
    <mergeCell ref="J34:K34"/>
    <mergeCell ref="J35:K35"/>
    <mergeCell ref="B36:B37"/>
    <mergeCell ref="C36:D37"/>
    <mergeCell ref="J36:K36"/>
    <mergeCell ref="J37:K3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29"/>
    <col customWidth="1" min="3" max="3" width="19.71"/>
    <col customWidth="1" min="4" max="4" width="19.0"/>
    <col customWidth="1" min="5" max="9" width="8.71"/>
    <col customWidth="1" min="10" max="10" width="16.14"/>
    <col customWidth="1" min="11" max="11" width="33.29"/>
    <col customWidth="1" min="12" max="12" width="19.29"/>
    <col customWidth="1" min="13" max="13" width="21.0"/>
    <col customWidth="1" min="14" max="14" width="15.57"/>
    <col customWidth="1" min="15" max="26" width="8.71"/>
  </cols>
  <sheetData>
    <row r="1" ht="14.25" customHeight="1">
      <c r="A1" s="1" t="s">
        <v>57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2</v>
      </c>
      <c r="K4" s="6"/>
      <c r="L4" s="6"/>
      <c r="M4" s="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9" t="s">
        <v>57</v>
      </c>
      <c r="K6" s="10"/>
      <c r="L6" s="11" t="s">
        <v>3</v>
      </c>
      <c r="M6" s="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</row>
    <row r="8" ht="14.25" customHeight="1">
      <c r="A8" s="5"/>
      <c r="B8" s="17"/>
      <c r="C8" s="17" t="s">
        <v>6</v>
      </c>
      <c r="D8" s="18">
        <v>40000.0</v>
      </c>
      <c r="E8" s="6"/>
      <c r="F8" s="6"/>
      <c r="G8" s="6"/>
      <c r="H8" s="6"/>
      <c r="I8" s="6"/>
      <c r="J8" s="19"/>
      <c r="K8" s="4"/>
      <c r="L8" s="20">
        <v>400000.0</v>
      </c>
      <c r="M8" s="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22"/>
      <c r="K9" s="6"/>
      <c r="L9" s="23">
        <v>77000.0</v>
      </c>
      <c r="M9" s="6"/>
    </row>
    <row r="10" ht="14.25" customHeight="1">
      <c r="A10" s="5"/>
      <c r="B10" s="5"/>
      <c r="C10" s="5" t="s">
        <v>8</v>
      </c>
      <c r="D10" s="24">
        <v>90000.0</v>
      </c>
      <c r="E10" s="6"/>
      <c r="F10" s="6"/>
      <c r="G10" s="6"/>
      <c r="H10" s="6"/>
      <c r="I10" s="6"/>
      <c r="J10" s="22"/>
      <c r="K10" s="6"/>
      <c r="L10" s="23">
        <v>77000.0</v>
      </c>
      <c r="M10" s="6"/>
    </row>
    <row r="11" ht="14.25" customHeight="1">
      <c r="A11" s="5"/>
      <c r="B11" s="17"/>
      <c r="C11" s="18"/>
      <c r="D11" s="25"/>
      <c r="E11" s="6"/>
      <c r="F11" s="6"/>
      <c r="G11" s="6"/>
      <c r="H11" s="6"/>
      <c r="I11" s="6"/>
      <c r="J11" s="22"/>
      <c r="K11" s="6"/>
      <c r="L11" s="23"/>
      <c r="M11" s="26">
        <f>SUM(L8:L11)</f>
        <v>554000</v>
      </c>
    </row>
    <row r="12" ht="14.25" customHeight="1">
      <c r="A12" s="5"/>
      <c r="B12" s="5"/>
      <c r="C12" s="21" t="s">
        <v>9</v>
      </c>
      <c r="D12" s="27">
        <v>35000.0</v>
      </c>
      <c r="E12" s="6"/>
      <c r="F12" s="6"/>
      <c r="G12" s="6"/>
      <c r="H12" s="6"/>
      <c r="I12" s="6"/>
      <c r="J12" s="28" t="s">
        <v>10</v>
      </c>
      <c r="K12" s="29"/>
      <c r="L12" s="30"/>
      <c r="M12" s="6"/>
    </row>
    <row r="13" ht="14.25" customHeight="1">
      <c r="A13" s="5"/>
      <c r="B13" s="31"/>
      <c r="C13" s="31"/>
      <c r="D13" s="13"/>
      <c r="E13" s="6"/>
      <c r="F13" s="6"/>
      <c r="G13" s="6"/>
      <c r="H13" s="6"/>
      <c r="I13" s="6"/>
      <c r="J13" s="19"/>
      <c r="K13" s="4"/>
      <c r="L13" s="20">
        <v>19000.0</v>
      </c>
      <c r="M13" s="6"/>
    </row>
    <row r="14" ht="14.25" customHeight="1">
      <c r="A14" s="5"/>
      <c r="B14" s="32" t="s">
        <v>11</v>
      </c>
      <c r="C14" s="33"/>
      <c r="D14" s="34">
        <f>SUM(D8:D12)</f>
        <v>165000</v>
      </c>
      <c r="E14" s="6"/>
      <c r="F14" s="6"/>
      <c r="G14" s="6"/>
      <c r="H14" s="6"/>
      <c r="I14" s="6"/>
      <c r="J14" s="22"/>
      <c r="K14" s="6"/>
      <c r="L14" s="23"/>
      <c r="M14" s="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22"/>
      <c r="K15" s="6"/>
      <c r="L15" s="23"/>
      <c r="M15" s="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K16" s="6"/>
      <c r="L16" s="23"/>
      <c r="M16" s="26">
        <f>SUM(L13:L16)</f>
        <v>19000</v>
      </c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75" t="s">
        <v>38</v>
      </c>
      <c r="K17" s="76"/>
      <c r="L17" s="77"/>
      <c r="M17" s="64">
        <f>23000</f>
        <v>23000</v>
      </c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63" t="s">
        <v>58</v>
      </c>
      <c r="K18" s="37"/>
      <c r="L18" s="38"/>
      <c r="M18" s="64">
        <v>38300.0</v>
      </c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36" t="s">
        <v>12</v>
      </c>
      <c r="K19" s="37"/>
      <c r="L19" s="38"/>
      <c r="M19" s="39">
        <f>M11+M16-M17-M18</f>
        <v>511700</v>
      </c>
      <c r="N19" s="78"/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22" t="s">
        <v>59</v>
      </c>
      <c r="L20" s="40">
        <v>600.0</v>
      </c>
      <c r="M20" s="6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22" t="s">
        <v>60</v>
      </c>
      <c r="L21" s="41">
        <v>1400.0</v>
      </c>
      <c r="M21" s="6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22" t="s">
        <v>61</v>
      </c>
      <c r="L22" s="41">
        <v>1000.0</v>
      </c>
      <c r="M22" s="6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22" t="s">
        <v>62</v>
      </c>
      <c r="L23" s="41">
        <v>15500.0</v>
      </c>
      <c r="M23" s="6"/>
    </row>
    <row r="24" ht="14.25" customHeight="1">
      <c r="A24" s="6"/>
      <c r="B24" s="42" t="s">
        <v>17</v>
      </c>
      <c r="C24" s="6"/>
      <c r="D24" s="6"/>
      <c r="E24" s="6"/>
      <c r="F24" s="6"/>
      <c r="G24" s="6"/>
      <c r="H24" s="6"/>
      <c r="I24" s="6"/>
      <c r="J24" s="22" t="s">
        <v>63</v>
      </c>
      <c r="L24" s="41">
        <v>6000.0</v>
      </c>
      <c r="M24" s="6"/>
    </row>
    <row r="25" ht="14.25" customHeight="1">
      <c r="A25" s="6"/>
      <c r="B25" s="8" t="s">
        <v>57</v>
      </c>
      <c r="C25" s="8"/>
      <c r="D25" s="6"/>
      <c r="E25" s="6"/>
      <c r="F25" s="6"/>
      <c r="G25" s="6"/>
      <c r="H25" s="6"/>
      <c r="I25" s="6"/>
      <c r="J25" s="22" t="s">
        <v>64</v>
      </c>
      <c r="L25" s="41">
        <v>700.0</v>
      </c>
      <c r="M25" s="6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22" t="s">
        <v>65</v>
      </c>
      <c r="L26" s="41">
        <v>700.0</v>
      </c>
      <c r="M26" s="6"/>
    </row>
    <row r="27" ht="14.25" customHeight="1">
      <c r="A27" s="5"/>
      <c r="B27" s="25"/>
      <c r="C27" s="27" t="s">
        <v>3</v>
      </c>
      <c r="D27" s="43" t="s">
        <v>66</v>
      </c>
      <c r="E27" s="6"/>
      <c r="F27" s="6"/>
      <c r="G27" s="6"/>
      <c r="H27" s="6"/>
      <c r="I27" s="6"/>
      <c r="J27" s="22" t="s">
        <v>67</v>
      </c>
      <c r="L27" s="41">
        <v>26000.0</v>
      </c>
      <c r="M27" s="6"/>
    </row>
    <row r="28" ht="14.25" customHeight="1">
      <c r="A28" s="5"/>
      <c r="B28" s="24" t="s">
        <v>24</v>
      </c>
      <c r="C28" s="44">
        <v>35000.0</v>
      </c>
      <c r="D28" s="45" t="s">
        <v>25</v>
      </c>
      <c r="E28" s="6"/>
      <c r="F28" s="6"/>
      <c r="G28" s="6"/>
      <c r="H28" s="6"/>
      <c r="I28" s="6"/>
      <c r="J28" s="22" t="s">
        <v>68</v>
      </c>
      <c r="L28" s="41">
        <v>1900.0</v>
      </c>
      <c r="M28" s="6"/>
    </row>
    <row r="29" ht="14.25" customHeight="1">
      <c r="A29" s="6"/>
      <c r="B29" s="44" t="s">
        <v>26</v>
      </c>
      <c r="C29" s="44">
        <v>5000.0</v>
      </c>
      <c r="D29" s="45" t="s">
        <v>25</v>
      </c>
      <c r="E29" s="6"/>
      <c r="F29" s="6"/>
      <c r="G29" s="6"/>
      <c r="H29" s="6"/>
      <c r="I29" s="6"/>
      <c r="J29" s="22"/>
      <c r="K29" s="46"/>
      <c r="L29" s="47"/>
      <c r="M29" s="6"/>
    </row>
    <row r="30" ht="14.25" customHeight="1">
      <c r="A30" s="5"/>
      <c r="B30" s="44" t="s">
        <v>27</v>
      </c>
      <c r="C30" s="44">
        <v>900.0</v>
      </c>
      <c r="D30" s="45" t="s">
        <v>25</v>
      </c>
      <c r="E30" s="6"/>
      <c r="F30" s="6"/>
      <c r="G30" s="6"/>
      <c r="H30" s="6"/>
      <c r="I30" s="6"/>
      <c r="J30" s="48" t="s">
        <v>69</v>
      </c>
      <c r="K30" s="38"/>
      <c r="L30" s="49">
        <f>SUM(L20:L27)-L28</f>
        <v>50000</v>
      </c>
      <c r="M30" s="6"/>
    </row>
    <row r="31" ht="14.25" customHeight="1">
      <c r="A31" s="5"/>
      <c r="B31" s="44" t="s">
        <v>29</v>
      </c>
      <c r="C31" s="44">
        <v>77000.0</v>
      </c>
      <c r="D31" s="45" t="s">
        <v>25</v>
      </c>
      <c r="E31" s="6"/>
      <c r="F31" s="6"/>
      <c r="G31" s="6"/>
      <c r="H31" s="6"/>
      <c r="I31" s="6"/>
      <c r="J31" s="50" t="s">
        <v>63</v>
      </c>
      <c r="L31" s="51">
        <v>10000.0</v>
      </c>
      <c r="M31" s="6"/>
    </row>
    <row r="32" ht="14.25" customHeight="1">
      <c r="A32" s="5"/>
      <c r="B32" s="44" t="s">
        <v>31</v>
      </c>
      <c r="C32" s="44">
        <v>5000.0</v>
      </c>
      <c r="D32" s="45" t="s">
        <v>25</v>
      </c>
      <c r="E32" s="6"/>
      <c r="F32" s="6"/>
      <c r="G32" s="6"/>
      <c r="H32" s="6"/>
      <c r="I32" s="6"/>
      <c r="J32" s="50" t="s">
        <v>70</v>
      </c>
      <c r="L32" s="41">
        <v>400000.0</v>
      </c>
      <c r="M32" s="6"/>
    </row>
    <row r="33" ht="14.25" customHeight="1">
      <c r="A33" s="5"/>
      <c r="B33" s="44" t="s">
        <v>33</v>
      </c>
      <c r="C33" s="44">
        <v>8000.0</v>
      </c>
      <c r="D33" s="45" t="s">
        <v>25</v>
      </c>
      <c r="E33" s="6"/>
      <c r="F33" s="6"/>
      <c r="G33" s="6"/>
      <c r="H33" s="6"/>
      <c r="I33" s="6"/>
      <c r="J33" s="50"/>
      <c r="L33" s="41"/>
      <c r="M33" s="6"/>
    </row>
    <row r="34" ht="14.25" customHeight="1">
      <c r="A34" s="5"/>
      <c r="B34" s="44" t="s">
        <v>34</v>
      </c>
      <c r="C34" s="44">
        <v>10000.0</v>
      </c>
      <c r="D34" s="45" t="s">
        <v>25</v>
      </c>
      <c r="E34" s="6"/>
      <c r="F34" s="6"/>
      <c r="G34" s="6"/>
      <c r="H34" s="6"/>
      <c r="I34" s="6"/>
      <c r="J34" s="50"/>
      <c r="L34" s="41"/>
      <c r="M34" s="6"/>
    </row>
    <row r="35" ht="14.25" customHeight="1">
      <c r="A35" s="5"/>
      <c r="B35" s="44" t="s">
        <v>35</v>
      </c>
      <c r="C35" s="44">
        <v>23000.0</v>
      </c>
      <c r="D35" s="45" t="s">
        <v>25</v>
      </c>
      <c r="E35" s="6"/>
      <c r="F35" s="6"/>
      <c r="G35" s="6"/>
      <c r="H35" s="6"/>
      <c r="I35" s="6"/>
      <c r="J35" s="50"/>
      <c r="L35" s="41"/>
      <c r="M35" s="6"/>
    </row>
    <row r="36" ht="14.25" customHeight="1">
      <c r="A36" s="5"/>
      <c r="B36" s="18" t="s">
        <v>36</v>
      </c>
      <c r="C36" s="52">
        <v>1100.0</v>
      </c>
      <c r="D36" s="45" t="s">
        <v>25</v>
      </c>
      <c r="E36" s="6"/>
      <c r="F36" s="6"/>
      <c r="G36" s="6"/>
      <c r="H36" s="6"/>
      <c r="I36" s="6"/>
      <c r="J36" s="50"/>
      <c r="L36" s="41"/>
      <c r="M36" s="6"/>
    </row>
    <row r="37" ht="14.25" customHeight="1">
      <c r="A37" s="5"/>
      <c r="B37" s="53" t="s">
        <v>11</v>
      </c>
      <c r="C37" s="54">
        <f>SUM(C28:C36)</f>
        <v>165000</v>
      </c>
      <c r="D37" s="55"/>
      <c r="E37" s="6"/>
      <c r="F37" s="6"/>
      <c r="G37" s="6"/>
      <c r="H37" s="6"/>
      <c r="I37" s="6"/>
      <c r="J37" s="50"/>
      <c r="L37" s="41"/>
      <c r="M37" s="6"/>
    </row>
    <row r="38" ht="14.25" customHeight="1">
      <c r="A38" s="5"/>
      <c r="B38" s="56"/>
      <c r="C38" s="57"/>
      <c r="D38" s="58"/>
      <c r="E38" s="6"/>
      <c r="F38" s="6"/>
      <c r="G38" s="6"/>
      <c r="H38" s="6"/>
      <c r="I38" s="6"/>
      <c r="J38" s="50"/>
      <c r="L38" s="47"/>
      <c r="M38" s="6"/>
    </row>
    <row r="39" ht="14.25" customHeight="1">
      <c r="A39" s="5"/>
      <c r="B39" s="6"/>
      <c r="C39" s="6"/>
      <c r="D39" s="6"/>
      <c r="E39" s="6"/>
      <c r="F39" s="6"/>
      <c r="G39" s="6"/>
      <c r="H39" s="6"/>
      <c r="I39" s="6"/>
      <c r="J39" s="59" t="s">
        <v>71</v>
      </c>
      <c r="K39" s="60"/>
      <c r="L39" s="61">
        <f>SUM(L31:L38)</f>
        <v>410000</v>
      </c>
      <c r="M39" s="62"/>
    </row>
    <row r="40" ht="14.25" customHeight="1">
      <c r="A40" s="5"/>
      <c r="B40" s="6"/>
      <c r="C40" s="6"/>
      <c r="D40" s="6"/>
      <c r="E40" s="6"/>
      <c r="F40" s="6"/>
      <c r="G40" s="6"/>
      <c r="H40" s="6"/>
      <c r="I40" s="6"/>
      <c r="J40" s="63" t="s">
        <v>72</v>
      </c>
      <c r="K40" s="37"/>
      <c r="L40" s="38"/>
      <c r="M40" s="64">
        <f>L30+L39</f>
        <v>460000</v>
      </c>
    </row>
    <row r="41" ht="14.25" customHeight="1">
      <c r="A41" s="5"/>
      <c r="B41" s="6"/>
      <c r="C41" s="6"/>
      <c r="D41" s="6"/>
      <c r="E41" s="6"/>
      <c r="F41" s="6"/>
      <c r="G41" s="6"/>
      <c r="H41" s="6"/>
      <c r="I41" s="6"/>
      <c r="J41" s="65" t="s">
        <v>39</v>
      </c>
      <c r="K41" s="37"/>
      <c r="L41" s="38"/>
      <c r="M41" s="66">
        <f>M42+M43</f>
        <v>125000</v>
      </c>
    </row>
    <row r="42" ht="14.25" customHeight="1">
      <c r="A42" s="5"/>
      <c r="B42" s="6"/>
      <c r="C42" s="6"/>
      <c r="D42" s="6"/>
      <c r="E42" s="6"/>
      <c r="F42" s="6"/>
      <c r="G42" s="6"/>
      <c r="H42" s="6"/>
      <c r="I42" s="6"/>
      <c r="J42" s="67" t="s">
        <v>40</v>
      </c>
      <c r="K42" s="37"/>
      <c r="L42" s="38"/>
      <c r="M42" s="68">
        <v>75000.0</v>
      </c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67" t="s">
        <v>56</v>
      </c>
      <c r="K43" s="37"/>
      <c r="L43" s="38"/>
      <c r="M43" s="68">
        <v>50000.0</v>
      </c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69" t="s">
        <v>57</v>
      </c>
      <c r="K48" s="70"/>
      <c r="L48" s="44" t="s">
        <v>3</v>
      </c>
      <c r="M48" s="6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71" t="s">
        <v>42</v>
      </c>
      <c r="K49" s="29"/>
      <c r="L49" s="72"/>
      <c r="M49" s="6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17"/>
      <c r="K50" s="4"/>
      <c r="L50" s="13">
        <v>66000.0</v>
      </c>
      <c r="M50" s="6"/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5"/>
      <c r="K51" s="6"/>
      <c r="L51" s="12">
        <v>5000.0</v>
      </c>
      <c r="M51" s="6"/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5"/>
      <c r="K52" s="6"/>
      <c r="L52" s="12">
        <v>5000.0</v>
      </c>
      <c r="M52" s="6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5"/>
      <c r="K53" s="6"/>
      <c r="L53" s="12"/>
      <c r="M53" s="6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5"/>
      <c r="K54" s="6"/>
      <c r="L54" s="12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5"/>
      <c r="K55" s="6"/>
      <c r="L55" s="12"/>
      <c r="M55" s="6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73" t="s">
        <v>43</v>
      </c>
      <c r="K56" s="38"/>
      <c r="L56" s="68">
        <f>SUM(L50:L55)</f>
        <v>76000</v>
      </c>
      <c r="M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ht="14.25" customHeight="1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ht="14.25" customHeight="1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ht="14.25" customHeight="1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A1:F1"/>
    <mergeCell ref="J6:K6"/>
    <mergeCell ref="J7:L7"/>
    <mergeCell ref="J12:L12"/>
    <mergeCell ref="B14:C14"/>
    <mergeCell ref="J17:L17"/>
    <mergeCell ref="J18:L18"/>
    <mergeCell ref="J19:L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B37:B38"/>
    <mergeCell ref="C37:D38"/>
    <mergeCell ref="J37:K37"/>
    <mergeCell ref="J48:K48"/>
    <mergeCell ref="J56:K56"/>
    <mergeCell ref="J38:K38"/>
    <mergeCell ref="J39:K39"/>
    <mergeCell ref="J40:L40"/>
    <mergeCell ref="J41:L41"/>
    <mergeCell ref="J42:L42"/>
    <mergeCell ref="J43:L43"/>
    <mergeCell ref="J49:L4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57"/>
    <col customWidth="1" min="3" max="3" width="15.43"/>
    <col customWidth="1" min="4" max="4" width="19.29"/>
    <col customWidth="1" min="5" max="9" width="8.71"/>
    <col customWidth="1" min="10" max="10" width="22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12.86"/>
    <col customWidth="1" min="16" max="26" width="8.71"/>
  </cols>
  <sheetData>
    <row r="1" ht="14.25" customHeight="1">
      <c r="A1" s="1" t="s">
        <v>73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2</v>
      </c>
      <c r="K4" s="6"/>
      <c r="L4" s="6"/>
      <c r="M4" s="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9" t="s">
        <v>73</v>
      </c>
      <c r="K6" s="10"/>
      <c r="L6" s="11" t="s">
        <v>3</v>
      </c>
      <c r="M6" s="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</row>
    <row r="8" ht="14.25" customHeight="1">
      <c r="A8" s="5"/>
      <c r="B8" s="17"/>
      <c r="C8" s="17" t="s">
        <v>6</v>
      </c>
      <c r="D8" s="18">
        <v>40000.0</v>
      </c>
      <c r="E8" s="6"/>
      <c r="F8" s="6"/>
      <c r="G8" s="6"/>
      <c r="H8" s="6"/>
      <c r="I8" s="6"/>
      <c r="J8" s="19"/>
      <c r="K8" s="4"/>
      <c r="L8" s="20">
        <v>50000.0</v>
      </c>
      <c r="M8" s="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22"/>
      <c r="K9" s="6"/>
      <c r="L9" s="23"/>
      <c r="M9" s="6"/>
    </row>
    <row r="10" ht="14.25" customHeight="1">
      <c r="A10" s="5"/>
      <c r="B10" s="5"/>
      <c r="C10" s="5" t="s">
        <v>8</v>
      </c>
      <c r="D10" s="24">
        <v>90000.0</v>
      </c>
      <c r="E10" s="6"/>
      <c r="F10" s="6"/>
      <c r="G10" s="6"/>
      <c r="H10" s="6"/>
      <c r="I10" s="6"/>
      <c r="J10" s="22"/>
      <c r="K10" s="6"/>
      <c r="L10" s="23"/>
      <c r="M10" s="6"/>
    </row>
    <row r="11" ht="14.25" customHeight="1">
      <c r="A11" s="5"/>
      <c r="B11" s="17"/>
      <c r="C11" s="18"/>
      <c r="D11" s="25"/>
      <c r="E11" s="6"/>
      <c r="F11" s="6"/>
      <c r="G11" s="6"/>
      <c r="H11" s="6"/>
      <c r="I11" s="6"/>
      <c r="J11" s="22"/>
      <c r="K11" s="6"/>
      <c r="L11" s="23"/>
      <c r="M11" s="26">
        <f>SUM(L8:L11)</f>
        <v>50000</v>
      </c>
    </row>
    <row r="12" ht="14.25" customHeight="1">
      <c r="A12" s="5"/>
      <c r="B12" s="5"/>
      <c r="C12" s="21" t="s">
        <v>9</v>
      </c>
      <c r="D12" s="27">
        <v>35000.0</v>
      </c>
      <c r="E12" s="6"/>
      <c r="F12" s="6"/>
      <c r="G12" s="6"/>
      <c r="H12" s="6"/>
      <c r="I12" s="6"/>
      <c r="J12" s="28" t="s">
        <v>10</v>
      </c>
      <c r="K12" s="29"/>
      <c r="L12" s="30"/>
      <c r="M12" s="6"/>
    </row>
    <row r="13" ht="14.25" customHeight="1">
      <c r="A13" s="5"/>
      <c r="B13" s="31"/>
      <c r="C13" s="31"/>
      <c r="D13" s="13"/>
      <c r="E13" s="6"/>
      <c r="F13" s="6"/>
      <c r="G13" s="6"/>
      <c r="H13" s="6"/>
      <c r="I13" s="6"/>
      <c r="J13" s="19"/>
      <c r="K13" s="4"/>
      <c r="L13" s="20">
        <v>75000.0</v>
      </c>
      <c r="M13" s="6"/>
    </row>
    <row r="14" ht="14.25" customHeight="1">
      <c r="A14" s="5"/>
      <c r="B14" s="32" t="s">
        <v>11</v>
      </c>
      <c r="C14" s="33"/>
      <c r="D14" s="34">
        <f>SUM(D8:D12)</f>
        <v>165000</v>
      </c>
      <c r="E14" s="6"/>
      <c r="F14" s="6"/>
      <c r="G14" s="6"/>
      <c r="H14" s="6"/>
      <c r="I14" s="6"/>
      <c r="J14" s="22"/>
      <c r="K14" s="6"/>
      <c r="L14" s="23"/>
      <c r="M14" s="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22"/>
      <c r="K15" s="6"/>
      <c r="L15" s="23"/>
      <c r="M15" s="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K16" s="6"/>
      <c r="L16" s="23"/>
      <c r="M16" s="26">
        <f>SUM(L13:L16)</f>
        <v>75000</v>
      </c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75" t="s">
        <v>38</v>
      </c>
      <c r="K17" s="76"/>
      <c r="L17" s="77"/>
      <c r="M17" s="64">
        <f>23000</f>
        <v>23000</v>
      </c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63" t="s">
        <v>55</v>
      </c>
      <c r="K18" s="37"/>
      <c r="L18" s="38"/>
      <c r="M18" s="64">
        <v>38300.0</v>
      </c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79" t="s">
        <v>72</v>
      </c>
      <c r="K19" s="37"/>
      <c r="L19" s="38"/>
      <c r="M19" s="64">
        <v>460000.0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36" t="s">
        <v>12</v>
      </c>
      <c r="K20" s="37"/>
      <c r="L20" s="38"/>
      <c r="M20" s="39">
        <f>M11+M16</f>
        <v>125000</v>
      </c>
      <c r="N20" s="78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22" t="s">
        <v>74</v>
      </c>
      <c r="L21" s="40">
        <v>10000.0</v>
      </c>
      <c r="M21" s="6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22" t="s">
        <v>75</v>
      </c>
      <c r="L22" s="41">
        <v>2000.0</v>
      </c>
      <c r="M22" s="6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22" t="s">
        <v>76</v>
      </c>
      <c r="L23" s="41">
        <v>2600.0</v>
      </c>
      <c r="M23" s="6"/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22" t="s">
        <v>77</v>
      </c>
      <c r="L24" s="41">
        <v>1400.0</v>
      </c>
      <c r="M24" s="6"/>
    </row>
    <row r="25" ht="14.25" customHeight="1">
      <c r="A25" s="6"/>
      <c r="B25" s="42" t="s">
        <v>17</v>
      </c>
      <c r="C25" s="6"/>
      <c r="D25" s="6"/>
      <c r="E25" s="6"/>
      <c r="F25" s="6"/>
      <c r="G25" s="6"/>
      <c r="H25" s="6"/>
      <c r="I25" s="6"/>
      <c r="J25" s="50" t="s">
        <v>78</v>
      </c>
      <c r="K25" s="46"/>
      <c r="L25" s="41">
        <v>1350.0</v>
      </c>
      <c r="M25" s="6"/>
    </row>
    <row r="26" ht="14.25" customHeight="1">
      <c r="A26" s="6"/>
      <c r="B26" s="8" t="s">
        <v>73</v>
      </c>
      <c r="C26" s="8"/>
      <c r="D26" s="6"/>
      <c r="E26" s="6"/>
      <c r="F26" s="6"/>
      <c r="G26" s="6"/>
      <c r="H26" s="6"/>
      <c r="I26" s="6"/>
      <c r="J26" s="50" t="s">
        <v>79</v>
      </c>
      <c r="K26" s="46"/>
      <c r="L26" s="41">
        <v>13500.0</v>
      </c>
      <c r="M26" s="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50" t="s">
        <v>80</v>
      </c>
      <c r="K27" s="46"/>
      <c r="L27" s="41">
        <v>4400.0</v>
      </c>
      <c r="M27" s="6"/>
    </row>
    <row r="28" ht="14.25" customHeight="1">
      <c r="A28" s="5"/>
      <c r="B28" s="25"/>
      <c r="C28" s="27" t="s">
        <v>3</v>
      </c>
      <c r="D28" s="43" t="s">
        <v>81</v>
      </c>
      <c r="E28" s="6"/>
      <c r="F28" s="6"/>
      <c r="G28" s="6"/>
      <c r="H28" s="6"/>
      <c r="I28" s="6"/>
      <c r="J28" s="50" t="s">
        <v>82</v>
      </c>
      <c r="K28" s="46"/>
      <c r="L28" s="41">
        <v>400.0</v>
      </c>
      <c r="M28" s="6"/>
    </row>
    <row r="29" ht="14.25" customHeight="1">
      <c r="A29" s="5"/>
      <c r="B29" s="24" t="s">
        <v>24</v>
      </c>
      <c r="C29" s="44">
        <v>35000.0</v>
      </c>
      <c r="D29" s="45" t="s">
        <v>25</v>
      </c>
      <c r="E29" s="6"/>
      <c r="F29" s="6"/>
      <c r="G29" s="6"/>
      <c r="H29" s="6"/>
      <c r="I29" s="6"/>
      <c r="J29" s="22" t="s">
        <v>83</v>
      </c>
      <c r="L29" s="41">
        <v>18000.0</v>
      </c>
      <c r="M29" s="6"/>
    </row>
    <row r="30" ht="14.25" customHeight="1">
      <c r="A30" s="6"/>
      <c r="B30" s="44" t="s">
        <v>26</v>
      </c>
      <c r="C30" s="44">
        <v>5000.0</v>
      </c>
      <c r="D30" s="45" t="s">
        <v>25</v>
      </c>
      <c r="E30" s="6"/>
      <c r="F30" s="6"/>
      <c r="G30" s="6"/>
      <c r="H30" s="6"/>
      <c r="I30" s="6"/>
      <c r="J30" s="22" t="s">
        <v>84</v>
      </c>
      <c r="L30" s="41">
        <v>1400.0</v>
      </c>
      <c r="M30" s="6"/>
    </row>
    <row r="31" ht="14.25" customHeight="1">
      <c r="A31" s="5"/>
      <c r="B31" s="44" t="s">
        <v>27</v>
      </c>
      <c r="C31" s="44">
        <v>1000.0</v>
      </c>
      <c r="D31" s="45" t="s">
        <v>25</v>
      </c>
      <c r="E31" s="6"/>
      <c r="F31" s="6"/>
      <c r="G31" s="6"/>
      <c r="H31" s="6"/>
      <c r="I31" s="6"/>
      <c r="J31" s="22" t="s">
        <v>85</v>
      </c>
      <c r="L31" s="41">
        <v>600.0</v>
      </c>
      <c r="M31" s="6"/>
    </row>
    <row r="32" ht="14.25" customHeight="1">
      <c r="A32" s="5"/>
      <c r="B32" s="44" t="s">
        <v>29</v>
      </c>
      <c r="C32" s="44">
        <v>75000.0</v>
      </c>
      <c r="D32" s="45" t="s">
        <v>25</v>
      </c>
      <c r="E32" s="6"/>
      <c r="F32" s="6"/>
      <c r="G32" s="6"/>
      <c r="H32" s="6"/>
      <c r="I32" s="6"/>
      <c r="J32" s="22" t="s">
        <v>86</v>
      </c>
      <c r="L32" s="41">
        <v>7000.0</v>
      </c>
      <c r="M32" s="6"/>
    </row>
    <row r="33" ht="14.25" customHeight="1">
      <c r="A33" s="5"/>
      <c r="B33" s="44" t="s">
        <v>31</v>
      </c>
      <c r="C33" s="44">
        <v>5000.0</v>
      </c>
      <c r="D33" s="45" t="s">
        <v>25</v>
      </c>
      <c r="E33" s="6"/>
      <c r="F33" s="6"/>
      <c r="G33" s="6"/>
      <c r="H33" s="6"/>
      <c r="I33" s="6"/>
      <c r="J33" s="22" t="s">
        <v>87</v>
      </c>
      <c r="L33" s="41">
        <v>3000.0</v>
      </c>
      <c r="M33" s="6"/>
    </row>
    <row r="34" ht="14.25" customHeight="1">
      <c r="A34" s="5"/>
      <c r="B34" s="44" t="s">
        <v>33</v>
      </c>
      <c r="C34" s="44">
        <v>8000.0</v>
      </c>
      <c r="D34" s="45" t="s">
        <v>25</v>
      </c>
      <c r="E34" s="6"/>
      <c r="F34" s="6"/>
      <c r="G34" s="6"/>
      <c r="H34" s="6"/>
      <c r="I34" s="6"/>
      <c r="J34" s="22"/>
      <c r="K34" s="46"/>
      <c r="L34" s="47"/>
      <c r="M34" s="6"/>
    </row>
    <row r="35" ht="14.25" customHeight="1">
      <c r="A35" s="5"/>
      <c r="B35" s="44" t="s">
        <v>34</v>
      </c>
      <c r="C35" s="44">
        <v>10000.0</v>
      </c>
      <c r="D35" s="45" t="s">
        <v>25</v>
      </c>
      <c r="E35" s="6"/>
      <c r="F35" s="6"/>
      <c r="G35" s="6"/>
      <c r="H35" s="6"/>
      <c r="I35" s="6"/>
      <c r="J35" s="48" t="s">
        <v>88</v>
      </c>
      <c r="K35" s="38"/>
      <c r="L35" s="49">
        <f>SUM(L21:L33)</f>
        <v>65650</v>
      </c>
      <c r="M35" s="6"/>
    </row>
    <row r="36" ht="14.25" customHeight="1">
      <c r="A36" s="5"/>
      <c r="B36" s="44" t="s">
        <v>36</v>
      </c>
      <c r="C36" s="44">
        <v>2000.0</v>
      </c>
      <c r="D36" s="45" t="s">
        <v>25</v>
      </c>
      <c r="E36" s="6"/>
      <c r="F36" s="6"/>
      <c r="G36" s="6"/>
      <c r="H36" s="6"/>
      <c r="I36" s="6"/>
      <c r="J36" s="50" t="s">
        <v>89</v>
      </c>
      <c r="L36" s="51">
        <v>4300.0</v>
      </c>
      <c r="M36" s="6"/>
    </row>
    <row r="37" ht="14.25" customHeight="1">
      <c r="A37" s="5"/>
      <c r="B37" s="18" t="s">
        <v>90</v>
      </c>
      <c r="C37" s="52">
        <v>24000.0</v>
      </c>
      <c r="D37" s="45" t="s">
        <v>25</v>
      </c>
      <c r="E37" s="6"/>
      <c r="F37" s="6"/>
      <c r="G37" s="6"/>
      <c r="H37" s="6"/>
      <c r="I37" s="6"/>
      <c r="J37" s="50" t="s">
        <v>90</v>
      </c>
      <c r="L37" s="41">
        <v>0.0</v>
      </c>
      <c r="M37" s="6"/>
    </row>
    <row r="38" ht="14.25" customHeight="1">
      <c r="A38" s="5"/>
      <c r="B38" s="53" t="s">
        <v>11</v>
      </c>
      <c r="C38" s="54">
        <f>SUM(C29:C37)</f>
        <v>165000</v>
      </c>
      <c r="D38" s="55"/>
      <c r="E38" s="6"/>
      <c r="F38" s="6"/>
      <c r="G38" s="6"/>
      <c r="H38" s="6"/>
      <c r="I38" s="6"/>
      <c r="J38" s="50" t="s">
        <v>52</v>
      </c>
      <c r="L38" s="41">
        <v>1000.0</v>
      </c>
      <c r="M38" s="6"/>
    </row>
    <row r="39" ht="14.25" customHeight="1">
      <c r="A39" s="5"/>
      <c r="B39" s="56"/>
      <c r="C39" s="57"/>
      <c r="D39" s="58"/>
      <c r="E39" s="6"/>
      <c r="F39" s="6"/>
      <c r="G39" s="6"/>
      <c r="H39" s="6"/>
      <c r="I39" s="6"/>
      <c r="J39" s="50" t="s">
        <v>91</v>
      </c>
      <c r="L39" s="41">
        <v>7500.0</v>
      </c>
      <c r="M39" s="6"/>
    </row>
    <row r="40" ht="14.25" customHeight="1">
      <c r="A40" s="5"/>
      <c r="B40" s="6"/>
      <c r="C40" s="6"/>
      <c r="D40" s="6"/>
      <c r="E40" s="6"/>
      <c r="F40" s="6"/>
      <c r="G40" s="6"/>
      <c r="H40" s="6"/>
      <c r="I40" s="6"/>
      <c r="J40" s="50" t="s">
        <v>83</v>
      </c>
      <c r="L40" s="41">
        <v>40000.0</v>
      </c>
      <c r="M40" s="22"/>
      <c r="N40" s="6"/>
    </row>
    <row r="41" ht="14.25" customHeight="1">
      <c r="A41" s="5"/>
      <c r="B41" s="6"/>
      <c r="C41" s="6"/>
      <c r="D41" s="6"/>
      <c r="E41" s="6"/>
      <c r="F41" s="6"/>
      <c r="G41" s="6"/>
      <c r="H41" s="6"/>
      <c r="I41" s="6"/>
      <c r="J41" s="50" t="s">
        <v>92</v>
      </c>
      <c r="L41" s="80">
        <v>1300.0</v>
      </c>
      <c r="M41" s="22"/>
      <c r="N41" s="6"/>
    </row>
    <row r="42" ht="14.25" customHeight="1">
      <c r="A42" s="5"/>
      <c r="B42" s="6"/>
      <c r="C42" s="6"/>
      <c r="D42" s="6"/>
      <c r="E42" s="6"/>
      <c r="F42" s="6"/>
      <c r="G42" s="6"/>
      <c r="H42" s="6"/>
      <c r="I42" s="6"/>
      <c r="J42" s="50" t="s">
        <v>93</v>
      </c>
      <c r="L42" s="41">
        <v>800.0</v>
      </c>
      <c r="M42" s="22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81"/>
      <c r="K43" s="46"/>
      <c r="L43" s="19"/>
      <c r="M43" s="22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81"/>
      <c r="K44" s="46"/>
      <c r="L44" s="19"/>
      <c r="M44" s="22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7"/>
      <c r="M45" s="6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59" t="s">
        <v>94</v>
      </c>
      <c r="K46" s="60"/>
      <c r="L46" s="82">
        <f>SUM(L36:L45)</f>
        <v>54900</v>
      </c>
      <c r="M46" s="6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63" t="s">
        <v>95</v>
      </c>
      <c r="K47" s="37"/>
      <c r="L47" s="38"/>
      <c r="M47" s="83">
        <f>L35+L46</f>
        <v>120550</v>
      </c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65" t="s">
        <v>39</v>
      </c>
      <c r="K48" s="37"/>
      <c r="L48" s="38"/>
      <c r="M48" s="6"/>
      <c r="O48" s="6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67" t="s">
        <v>40</v>
      </c>
      <c r="K49" s="37"/>
      <c r="L49" s="84"/>
      <c r="M49" s="68">
        <v>62000.0</v>
      </c>
      <c r="N49" s="78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67" t="s">
        <v>56</v>
      </c>
      <c r="K50" s="37"/>
      <c r="L50" s="84"/>
      <c r="M50" s="68">
        <v>0.0</v>
      </c>
      <c r="N50" s="78"/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85"/>
      <c r="K51" s="86"/>
      <c r="L51" s="86"/>
      <c r="M51" s="6"/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69" t="s">
        <v>73</v>
      </c>
      <c r="K55" s="70"/>
      <c r="L55" s="44" t="s">
        <v>3</v>
      </c>
      <c r="M55" s="6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71" t="s">
        <v>42</v>
      </c>
      <c r="K56" s="29"/>
      <c r="L56" s="72"/>
      <c r="M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17"/>
      <c r="K57" s="4"/>
      <c r="L57" s="13">
        <v>66000.0</v>
      </c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5"/>
      <c r="K58" s="6"/>
      <c r="L58" s="12">
        <v>5000.0</v>
      </c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6"/>
      <c r="J59" s="5"/>
      <c r="K59" s="6"/>
      <c r="L59" s="12">
        <v>5000.0</v>
      </c>
      <c r="M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6"/>
      <c r="J60" s="5"/>
      <c r="K60" s="6"/>
      <c r="L60" s="12">
        <v>5000.0</v>
      </c>
      <c r="M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6"/>
      <c r="J61" s="5"/>
      <c r="K61" s="6" t="s">
        <v>96</v>
      </c>
      <c r="L61" s="87">
        <v>10000.0</v>
      </c>
      <c r="M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6"/>
      <c r="J62" s="5"/>
      <c r="K62" s="6"/>
      <c r="L62" s="12"/>
      <c r="M62" s="6"/>
    </row>
    <row r="63" ht="14.25" customHeight="1">
      <c r="J63" s="73" t="s">
        <v>43</v>
      </c>
      <c r="K63" s="38"/>
      <c r="L63" s="68">
        <f>SUM(L57:L60)-L61</f>
        <v>71000</v>
      </c>
    </row>
    <row r="64" ht="14.25" customHeight="1">
      <c r="J64" s="6"/>
      <c r="K64" s="6"/>
      <c r="L64" s="6"/>
    </row>
    <row r="65" ht="14.25" customHeight="1">
      <c r="J65" s="6"/>
      <c r="K65" s="6"/>
      <c r="L65" s="6"/>
    </row>
    <row r="66" ht="14.25" customHeight="1">
      <c r="J66" s="6"/>
      <c r="K66" s="6"/>
      <c r="L66" s="6"/>
    </row>
    <row r="67" ht="14.25" customHeight="1">
      <c r="J67" s="6"/>
      <c r="K67" s="6"/>
      <c r="L67" s="6"/>
    </row>
    <row r="68" ht="14.25" customHeight="1">
      <c r="J68" s="6"/>
      <c r="K68" s="6"/>
      <c r="L68" s="6"/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5">
    <mergeCell ref="A1:F1"/>
    <mergeCell ref="J6:K6"/>
    <mergeCell ref="J7:L7"/>
    <mergeCell ref="J12:L12"/>
    <mergeCell ref="B14:C14"/>
    <mergeCell ref="J17:L17"/>
    <mergeCell ref="J18:L18"/>
    <mergeCell ref="J19:L19"/>
    <mergeCell ref="J20:L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B38:B39"/>
    <mergeCell ref="C38:D39"/>
    <mergeCell ref="J38:K38"/>
    <mergeCell ref="J39:K39"/>
    <mergeCell ref="J40:K40"/>
    <mergeCell ref="J41:K41"/>
    <mergeCell ref="J42:K42"/>
    <mergeCell ref="J43:K43"/>
    <mergeCell ref="J44:K44"/>
    <mergeCell ref="J55:K55"/>
    <mergeCell ref="J56:L56"/>
    <mergeCell ref="J63:K63"/>
    <mergeCell ref="J45:K45"/>
    <mergeCell ref="J46:K46"/>
    <mergeCell ref="J47:L47"/>
    <mergeCell ref="J48:L48"/>
    <mergeCell ref="J49:L49"/>
    <mergeCell ref="J50:L50"/>
    <mergeCell ref="J51:L5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57"/>
    <col customWidth="1" min="3" max="3" width="15.43"/>
    <col customWidth="1" min="4" max="4" width="19.29"/>
    <col customWidth="1" min="5" max="5" width="12.86"/>
    <col customWidth="1" min="6" max="9" width="8.71"/>
    <col customWidth="1" min="10" max="10" width="22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12.86"/>
    <col customWidth="1" min="16" max="26" width="8.71"/>
  </cols>
  <sheetData>
    <row r="1" ht="14.25" customHeight="1">
      <c r="A1" s="1" t="s">
        <v>97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2</v>
      </c>
      <c r="K4" s="6"/>
      <c r="L4" s="6"/>
      <c r="M4" s="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9" t="s">
        <v>97</v>
      </c>
      <c r="K6" s="10"/>
      <c r="L6" s="11" t="s">
        <v>3</v>
      </c>
      <c r="M6" s="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</row>
    <row r="8" ht="14.25" customHeight="1">
      <c r="A8" s="5"/>
      <c r="B8" s="17"/>
      <c r="C8" s="17" t="s">
        <v>6</v>
      </c>
      <c r="D8" s="18">
        <v>40000.0</v>
      </c>
      <c r="E8" s="6"/>
      <c r="F8" s="6"/>
      <c r="G8" s="6"/>
      <c r="H8" s="6"/>
      <c r="I8" s="6"/>
      <c r="J8" s="19"/>
      <c r="K8" s="4"/>
      <c r="L8" s="20">
        <v>0.0</v>
      </c>
      <c r="M8" s="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22"/>
      <c r="K9" s="6"/>
      <c r="L9" s="23"/>
      <c r="M9" s="6"/>
    </row>
    <row r="10" ht="14.25" customHeight="1">
      <c r="A10" s="5"/>
      <c r="B10" s="5"/>
      <c r="C10" s="5" t="s">
        <v>8</v>
      </c>
      <c r="D10" s="24">
        <v>90000.0</v>
      </c>
      <c r="E10" s="6"/>
      <c r="F10" s="6"/>
      <c r="G10" s="6"/>
      <c r="H10" s="6"/>
      <c r="I10" s="6"/>
      <c r="J10" s="22"/>
      <c r="K10" s="6"/>
      <c r="L10" s="23"/>
      <c r="M10" s="6"/>
    </row>
    <row r="11" ht="14.25" customHeight="1">
      <c r="A11" s="5"/>
      <c r="B11" s="17"/>
      <c r="C11" s="18"/>
      <c r="D11" s="88">
        <v>35000.0</v>
      </c>
      <c r="E11" s="6"/>
      <c r="F11" s="6"/>
      <c r="G11" s="6"/>
      <c r="H11" s="6"/>
      <c r="I11" s="6"/>
      <c r="J11" s="22"/>
      <c r="K11" s="6"/>
      <c r="L11" s="23"/>
      <c r="M11" s="26">
        <f>SUM(L8:L11)</f>
        <v>0</v>
      </c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8" t="s">
        <v>10</v>
      </c>
      <c r="K12" s="29"/>
      <c r="L12" s="30"/>
      <c r="M12" s="6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9"/>
      <c r="K13" s="4"/>
      <c r="L13" s="20">
        <v>94000.0</v>
      </c>
      <c r="M13" s="6"/>
    </row>
    <row r="14" ht="14.25" customHeight="1">
      <c r="A14" s="5"/>
      <c r="B14" s="32" t="s">
        <v>11</v>
      </c>
      <c r="C14" s="33"/>
      <c r="D14" s="34">
        <f>SUM(D8:D11)</f>
        <v>165000</v>
      </c>
      <c r="E14" s="6"/>
      <c r="F14" s="6"/>
      <c r="G14" s="6"/>
      <c r="H14" s="6"/>
      <c r="I14" s="6"/>
      <c r="J14" s="22"/>
      <c r="K14" s="6"/>
      <c r="L14" s="23"/>
      <c r="M14" s="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22"/>
      <c r="K15" s="6"/>
      <c r="L15" s="23"/>
      <c r="M15" s="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K16" s="6"/>
      <c r="L16" s="23"/>
      <c r="M16" s="26">
        <f>SUM(L13:L16)</f>
        <v>94000</v>
      </c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75" t="s">
        <v>98</v>
      </c>
      <c r="K17" s="76"/>
      <c r="L17" s="77"/>
      <c r="M17" s="64">
        <f>23000+38300+60000</f>
        <v>121300</v>
      </c>
      <c r="N17" s="6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63" t="s">
        <v>99</v>
      </c>
      <c r="K18" s="37"/>
      <c r="L18" s="38"/>
      <c r="M18" s="64">
        <v>400000.0</v>
      </c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79" t="s">
        <v>95</v>
      </c>
      <c r="K19" s="37"/>
      <c r="L19" s="38"/>
      <c r="M19" s="83">
        <v>120550.0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36" t="s">
        <v>12</v>
      </c>
      <c r="K20" s="37"/>
      <c r="L20" s="38"/>
      <c r="M20" s="39">
        <f>M11+M16</f>
        <v>94000</v>
      </c>
      <c r="N20" s="78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22"/>
      <c r="L21" s="40"/>
      <c r="M21" s="6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22"/>
      <c r="L22" s="41"/>
      <c r="M22" s="6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22"/>
      <c r="L23" s="41"/>
      <c r="M23" s="6"/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22"/>
      <c r="L24" s="41"/>
      <c r="M24" s="6"/>
    </row>
    <row r="25" ht="14.25" customHeight="1">
      <c r="A25" s="6"/>
      <c r="B25" s="42" t="s">
        <v>17</v>
      </c>
      <c r="C25" s="6"/>
      <c r="D25" s="6"/>
      <c r="E25" s="6"/>
      <c r="F25" s="6"/>
      <c r="G25" s="6"/>
      <c r="H25" s="6"/>
      <c r="I25" s="6"/>
      <c r="J25" s="50"/>
      <c r="K25" s="46"/>
      <c r="L25" s="41"/>
      <c r="M25" s="6"/>
    </row>
    <row r="26" ht="14.25" customHeight="1">
      <c r="A26" s="6"/>
      <c r="B26" s="8" t="s">
        <v>97</v>
      </c>
      <c r="C26" s="8"/>
      <c r="D26" s="6"/>
      <c r="E26" s="6"/>
      <c r="F26" s="6"/>
      <c r="G26" s="6"/>
      <c r="H26" s="6"/>
      <c r="I26" s="6"/>
      <c r="J26" s="50"/>
      <c r="K26" s="46"/>
      <c r="L26" s="41"/>
      <c r="M26" s="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50"/>
      <c r="K27" s="46"/>
      <c r="L27" s="41"/>
      <c r="M27" s="6"/>
    </row>
    <row r="28" ht="14.25" customHeight="1">
      <c r="A28" s="5"/>
      <c r="B28" s="25"/>
      <c r="C28" s="27" t="s">
        <v>3</v>
      </c>
      <c r="D28" s="43" t="s">
        <v>100</v>
      </c>
      <c r="E28" s="6"/>
      <c r="F28" s="6"/>
      <c r="G28" s="6"/>
      <c r="H28" s="6"/>
      <c r="I28" s="6"/>
      <c r="J28" s="50"/>
      <c r="K28" s="46"/>
      <c r="L28" s="41"/>
      <c r="M28" s="6"/>
    </row>
    <row r="29" ht="14.25" customHeight="1">
      <c r="A29" s="5"/>
      <c r="B29" s="24" t="s">
        <v>24</v>
      </c>
      <c r="C29" s="44">
        <v>41000.0</v>
      </c>
      <c r="D29" s="45" t="s">
        <v>25</v>
      </c>
      <c r="E29" s="6"/>
      <c r="F29" s="6"/>
      <c r="G29" s="6"/>
      <c r="H29" s="6"/>
      <c r="I29" s="6"/>
      <c r="J29" s="22"/>
      <c r="L29" s="41"/>
      <c r="M29" s="6"/>
    </row>
    <row r="30" ht="14.25" customHeight="1">
      <c r="A30" s="6"/>
      <c r="B30" s="44" t="s">
        <v>26</v>
      </c>
      <c r="C30" s="44">
        <v>4000.0</v>
      </c>
      <c r="D30" s="45" t="s">
        <v>25</v>
      </c>
      <c r="E30" s="6"/>
      <c r="F30" s="6"/>
      <c r="G30" s="6"/>
      <c r="H30" s="6"/>
      <c r="I30" s="6"/>
      <c r="J30" s="22"/>
      <c r="L30" s="41"/>
      <c r="M30" s="6"/>
    </row>
    <row r="31" ht="14.25" customHeight="1">
      <c r="A31" s="5"/>
      <c r="B31" s="44" t="s">
        <v>27</v>
      </c>
      <c r="C31" s="44">
        <v>1000.0</v>
      </c>
      <c r="D31" s="45" t="s">
        <v>25</v>
      </c>
      <c r="E31" s="6"/>
      <c r="F31" s="6"/>
      <c r="G31" s="6"/>
      <c r="H31" s="6"/>
      <c r="I31" s="6"/>
      <c r="J31" s="22"/>
      <c r="L31" s="41"/>
      <c r="M31" s="6"/>
    </row>
    <row r="32" ht="14.25" customHeight="1">
      <c r="A32" s="5"/>
      <c r="B32" s="44" t="s">
        <v>29</v>
      </c>
      <c r="C32" s="44">
        <v>94000.0</v>
      </c>
      <c r="D32" s="43" t="s">
        <v>101</v>
      </c>
      <c r="E32" s="6">
        <v>35000.0</v>
      </c>
      <c r="F32" s="6"/>
      <c r="G32" s="6"/>
      <c r="H32" s="6"/>
      <c r="I32" s="6"/>
      <c r="J32" s="22"/>
      <c r="L32" s="41"/>
      <c r="M32" s="6"/>
    </row>
    <row r="33" ht="14.25" customHeight="1">
      <c r="A33" s="5"/>
      <c r="B33" s="44" t="s">
        <v>31</v>
      </c>
      <c r="C33" s="44">
        <v>5000.0</v>
      </c>
      <c r="D33" s="45" t="s">
        <v>25</v>
      </c>
      <c r="E33" s="6">
        <v>59000.0</v>
      </c>
      <c r="F33" s="6"/>
      <c r="G33" s="6"/>
      <c r="H33" s="6"/>
      <c r="I33" s="6"/>
      <c r="J33" s="22"/>
      <c r="L33" s="41"/>
      <c r="M33" s="6"/>
    </row>
    <row r="34" ht="14.25" customHeight="1">
      <c r="A34" s="5"/>
      <c r="B34" s="44" t="s">
        <v>33</v>
      </c>
      <c r="C34" s="44">
        <v>8000.0</v>
      </c>
      <c r="D34" s="45" t="s">
        <v>25</v>
      </c>
      <c r="E34" s="6">
        <f>E32+E33</f>
        <v>94000</v>
      </c>
      <c r="F34" s="6"/>
      <c r="G34" s="6"/>
      <c r="H34" s="6"/>
      <c r="I34" s="6"/>
      <c r="J34" s="22"/>
      <c r="K34" s="46"/>
      <c r="L34" s="47"/>
      <c r="M34" s="6"/>
    </row>
    <row r="35" ht="14.25" customHeight="1">
      <c r="A35" s="5"/>
      <c r="B35" s="44" t="s">
        <v>34</v>
      </c>
      <c r="C35" s="44">
        <v>10000.0</v>
      </c>
      <c r="D35" s="45" t="s">
        <v>25</v>
      </c>
      <c r="E35" s="6"/>
      <c r="F35" s="6"/>
      <c r="G35" s="6"/>
      <c r="H35" s="6"/>
      <c r="I35" s="6"/>
      <c r="J35" s="48" t="s">
        <v>102</v>
      </c>
      <c r="K35" s="38"/>
      <c r="L35" s="49">
        <f>SUM(L21:L33)</f>
        <v>0</v>
      </c>
      <c r="M35" s="6"/>
    </row>
    <row r="36" ht="14.25" customHeight="1">
      <c r="A36" s="5"/>
      <c r="B36" s="44" t="s">
        <v>36</v>
      </c>
      <c r="C36" s="44">
        <v>2000.0</v>
      </c>
      <c r="D36" s="45" t="s">
        <v>25</v>
      </c>
      <c r="E36" s="6"/>
      <c r="F36" s="6"/>
      <c r="G36" s="6"/>
      <c r="H36" s="6"/>
      <c r="I36" s="6"/>
      <c r="J36" s="50" t="s">
        <v>103</v>
      </c>
      <c r="L36" s="51">
        <v>7000.0</v>
      </c>
      <c r="M36" s="6"/>
    </row>
    <row r="37" ht="14.25" customHeight="1">
      <c r="A37" s="5"/>
      <c r="B37" s="18" t="s">
        <v>104</v>
      </c>
      <c r="C37" s="52">
        <v>0.0</v>
      </c>
      <c r="D37" s="45" t="s">
        <v>25</v>
      </c>
      <c r="E37" s="6"/>
      <c r="F37" s="6"/>
      <c r="G37" s="6"/>
      <c r="H37" s="6"/>
      <c r="I37" s="6"/>
      <c r="J37" s="50" t="s">
        <v>105</v>
      </c>
      <c r="L37" s="41">
        <v>10000.0</v>
      </c>
      <c r="M37" s="6"/>
    </row>
    <row r="38" ht="14.25" customHeight="1">
      <c r="A38" s="5"/>
      <c r="B38" s="53" t="s">
        <v>11</v>
      </c>
      <c r="C38" s="54">
        <f>SUM(C29:C37)</f>
        <v>165000</v>
      </c>
      <c r="D38" s="55"/>
      <c r="E38" s="6"/>
      <c r="F38" s="6"/>
      <c r="G38" s="6"/>
      <c r="H38" s="6"/>
      <c r="I38" s="6"/>
      <c r="J38" s="50" t="s">
        <v>106</v>
      </c>
      <c r="L38" s="41">
        <v>2150.0</v>
      </c>
      <c r="M38" s="6"/>
    </row>
    <row r="39" ht="14.25" customHeight="1">
      <c r="A39" s="5"/>
      <c r="B39" s="56"/>
      <c r="C39" s="57"/>
      <c r="D39" s="58"/>
      <c r="E39" s="6"/>
      <c r="F39" s="6"/>
      <c r="G39" s="6"/>
      <c r="H39" s="6"/>
      <c r="I39" s="6"/>
      <c r="J39" s="50"/>
      <c r="L39" s="41"/>
      <c r="M39" s="6"/>
    </row>
    <row r="40" ht="14.25" customHeight="1">
      <c r="A40" s="5"/>
      <c r="B40" s="6"/>
      <c r="C40" s="6"/>
      <c r="D40" s="6"/>
      <c r="E40" s="6"/>
      <c r="F40" s="6"/>
      <c r="G40" s="6"/>
      <c r="H40" s="6"/>
      <c r="I40" s="6"/>
      <c r="J40" s="50"/>
      <c r="L40" s="41"/>
      <c r="M40" s="22"/>
      <c r="N40" s="6"/>
    </row>
    <row r="41" ht="14.25" customHeight="1">
      <c r="A41" s="5"/>
      <c r="B41" s="6"/>
      <c r="C41" s="6"/>
      <c r="D41" s="6"/>
      <c r="E41" s="6"/>
      <c r="F41" s="6"/>
      <c r="G41" s="6"/>
      <c r="H41" s="6"/>
      <c r="I41" s="6"/>
      <c r="J41" s="50"/>
      <c r="L41" s="80"/>
      <c r="M41" s="22"/>
      <c r="N41" s="6"/>
    </row>
    <row r="42" ht="14.25" customHeight="1">
      <c r="A42" s="5"/>
      <c r="B42" s="6"/>
      <c r="C42" s="6"/>
      <c r="D42" s="6"/>
      <c r="E42" s="6"/>
      <c r="F42" s="6"/>
      <c r="G42" s="6"/>
      <c r="H42" s="6"/>
      <c r="I42" s="6"/>
      <c r="J42" s="50"/>
      <c r="L42" s="41"/>
      <c r="M42" s="22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81"/>
      <c r="K43" s="46"/>
      <c r="L43" s="19"/>
      <c r="M43" s="22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81"/>
      <c r="K44" s="46"/>
      <c r="L44" s="19"/>
      <c r="M44" s="22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7"/>
      <c r="M45" s="6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59" t="s">
        <v>107</v>
      </c>
      <c r="K46" s="60"/>
      <c r="L46" s="82">
        <f>SUM(L36:L45)</f>
        <v>19150</v>
      </c>
      <c r="M46" s="6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63" t="s">
        <v>108</v>
      </c>
      <c r="K47" s="37"/>
      <c r="L47" s="38"/>
      <c r="M47" s="83">
        <f>L35+L46</f>
        <v>19150</v>
      </c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65" t="s">
        <v>39</v>
      </c>
      <c r="K48" s="37"/>
      <c r="L48" s="38"/>
      <c r="M48" s="6"/>
      <c r="O48" s="6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67" t="s">
        <v>40</v>
      </c>
      <c r="K49" s="37"/>
      <c r="L49" s="84"/>
      <c r="M49" s="68">
        <f>M20-M47</f>
        <v>74850</v>
      </c>
      <c r="N49" s="78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67" t="s">
        <v>56</v>
      </c>
      <c r="K50" s="37"/>
      <c r="L50" s="84"/>
      <c r="M50" s="68"/>
      <c r="N50" s="78"/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69" t="s">
        <v>97</v>
      </c>
      <c r="K56" s="70"/>
      <c r="L56" s="44" t="s">
        <v>3</v>
      </c>
      <c r="M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71" t="s">
        <v>42</v>
      </c>
      <c r="K57" s="29"/>
      <c r="L57" s="72"/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17"/>
      <c r="K58" s="4"/>
      <c r="L58" s="13">
        <v>66000.0</v>
      </c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6"/>
      <c r="J59" s="5"/>
      <c r="K59" s="6"/>
      <c r="L59" s="12">
        <v>5000.0</v>
      </c>
      <c r="M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6"/>
      <c r="J60" s="5"/>
      <c r="K60" s="6"/>
      <c r="L60" s="12">
        <v>5000.0</v>
      </c>
      <c r="M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6"/>
      <c r="J61" s="5"/>
      <c r="K61" s="6"/>
      <c r="L61" s="12">
        <v>5000.0</v>
      </c>
      <c r="M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6"/>
      <c r="J62" s="5"/>
      <c r="K62" s="6"/>
      <c r="L62" s="12">
        <v>5000.0</v>
      </c>
      <c r="M62" s="6"/>
    </row>
    <row r="63" ht="14.25" customHeight="1">
      <c r="J63" s="5"/>
      <c r="K63" s="6" t="s">
        <v>96</v>
      </c>
      <c r="L63" s="87">
        <v>0.0</v>
      </c>
      <c r="M63" s="91">
        <v>10000.0</v>
      </c>
      <c r="N63" s="92" t="s">
        <v>109</v>
      </c>
    </row>
    <row r="64" ht="14.25" customHeight="1">
      <c r="J64" s="5"/>
      <c r="K64" s="6"/>
      <c r="L64" s="12"/>
    </row>
    <row r="65" ht="14.25" customHeight="1">
      <c r="J65" s="73" t="s">
        <v>43</v>
      </c>
      <c r="K65" s="38"/>
      <c r="L65" s="68">
        <f>SUM(L58:L62)-L63</f>
        <v>86000</v>
      </c>
    </row>
    <row r="66" ht="14.25" customHeight="1">
      <c r="J66" s="6"/>
      <c r="K66" s="6"/>
      <c r="L66" s="6"/>
    </row>
    <row r="67" ht="14.25" customHeight="1">
      <c r="J67" s="6"/>
      <c r="K67" s="6"/>
      <c r="L67" s="6"/>
    </row>
    <row r="68" ht="14.25" customHeight="1">
      <c r="J68" s="6"/>
      <c r="K68" s="6"/>
      <c r="L68" s="6"/>
    </row>
    <row r="69" ht="14.25" customHeight="1">
      <c r="J69" s="6"/>
      <c r="K69" s="6"/>
      <c r="L69" s="6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5">
    <mergeCell ref="A1:F1"/>
    <mergeCell ref="J6:K6"/>
    <mergeCell ref="J7:L7"/>
    <mergeCell ref="D11:D13"/>
    <mergeCell ref="J12:L12"/>
    <mergeCell ref="B14:C14"/>
    <mergeCell ref="J17:L17"/>
    <mergeCell ref="J18:L18"/>
    <mergeCell ref="J19:L19"/>
    <mergeCell ref="J20:L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B38:B39"/>
    <mergeCell ref="C38:D39"/>
    <mergeCell ref="J39:K39"/>
    <mergeCell ref="J37:K37"/>
    <mergeCell ref="J38:K38"/>
    <mergeCell ref="J40:K40"/>
    <mergeCell ref="J41:K41"/>
    <mergeCell ref="J42:K42"/>
    <mergeCell ref="J43:K43"/>
    <mergeCell ref="J44:K44"/>
    <mergeCell ref="J56:K56"/>
    <mergeCell ref="J65:K65"/>
    <mergeCell ref="J45:K45"/>
    <mergeCell ref="J46:K46"/>
    <mergeCell ref="J47:L47"/>
    <mergeCell ref="J48:L48"/>
    <mergeCell ref="J49:L49"/>
    <mergeCell ref="J50:L50"/>
    <mergeCell ref="J57:L5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57"/>
    <col customWidth="1" min="3" max="3" width="15.43"/>
    <col customWidth="1" min="4" max="4" width="19.29"/>
    <col customWidth="1" min="5" max="9" width="8.71"/>
    <col customWidth="1" min="10" max="10" width="31.29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12.86"/>
    <col customWidth="1" min="16" max="26" width="8.71"/>
  </cols>
  <sheetData>
    <row r="1" ht="14.25" customHeight="1">
      <c r="A1" s="1" t="s">
        <v>110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2</v>
      </c>
      <c r="K4" s="6"/>
      <c r="L4" s="6"/>
      <c r="M4" s="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9" t="s">
        <v>110</v>
      </c>
      <c r="K6" s="10"/>
      <c r="L6" s="11" t="s">
        <v>3</v>
      </c>
      <c r="M6" s="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</row>
    <row r="8" ht="14.25" customHeight="1">
      <c r="A8" s="5"/>
      <c r="B8" s="17"/>
      <c r="C8" s="17" t="s">
        <v>6</v>
      </c>
      <c r="D8" s="18">
        <v>40000.0</v>
      </c>
      <c r="E8" s="6"/>
      <c r="F8" s="6"/>
      <c r="G8" s="6"/>
      <c r="H8" s="6"/>
      <c r="I8" s="6"/>
      <c r="J8" s="19"/>
      <c r="K8" s="4"/>
      <c r="L8" s="20">
        <v>0.0</v>
      </c>
      <c r="M8" s="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22"/>
      <c r="K9" s="6"/>
      <c r="L9" s="23"/>
      <c r="M9" s="6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22"/>
      <c r="K10" s="6"/>
      <c r="L10" s="23"/>
      <c r="M10" s="6"/>
    </row>
    <row r="11" ht="14.25" customHeight="1">
      <c r="A11" s="5"/>
      <c r="B11" s="17"/>
      <c r="C11" s="18"/>
      <c r="D11" s="88">
        <v>35000.0</v>
      </c>
      <c r="E11" s="6"/>
      <c r="F11" s="6"/>
      <c r="G11" s="6"/>
      <c r="H11" s="6"/>
      <c r="I11" s="6"/>
      <c r="J11" s="22"/>
      <c r="K11" s="6"/>
      <c r="L11" s="23"/>
      <c r="M11" s="26">
        <f>SUM(L8:L11)</f>
        <v>0</v>
      </c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8" t="s">
        <v>10</v>
      </c>
      <c r="K12" s="29"/>
      <c r="L12" s="30"/>
      <c r="M12" s="6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9"/>
      <c r="K13" s="4"/>
      <c r="L13" s="20">
        <v>0.0</v>
      </c>
      <c r="M13" s="6"/>
    </row>
    <row r="14" ht="14.25" customHeight="1">
      <c r="A14" s="5"/>
      <c r="B14" s="32" t="s">
        <v>11</v>
      </c>
      <c r="C14" s="33"/>
      <c r="D14" s="34">
        <f>SUM(D8:D11)</f>
        <v>175000</v>
      </c>
      <c r="E14" s="6"/>
      <c r="F14" s="6"/>
      <c r="G14" s="6"/>
      <c r="H14" s="6"/>
      <c r="I14" s="6"/>
      <c r="J14" s="22"/>
      <c r="K14" s="6"/>
      <c r="L14" s="23"/>
      <c r="M14" s="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22"/>
      <c r="K15" s="6"/>
      <c r="L15" s="23"/>
      <c r="M15" s="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K16" s="6"/>
      <c r="L16" s="23"/>
      <c r="M16" s="26">
        <f>SUM(L13:L16)</f>
        <v>0</v>
      </c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75" t="s">
        <v>98</v>
      </c>
      <c r="K17" s="76"/>
      <c r="L17" s="77"/>
      <c r="M17" s="64">
        <f>23000+38300+60000</f>
        <v>121300</v>
      </c>
      <c r="N17" s="6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63" t="s">
        <v>99</v>
      </c>
      <c r="K18" s="37"/>
      <c r="L18" s="38"/>
      <c r="M18" s="64">
        <v>400000.0</v>
      </c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79" t="s">
        <v>95</v>
      </c>
      <c r="K19" s="37"/>
      <c r="L19" s="38"/>
      <c r="M19" s="83">
        <v>120550.0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36" t="s">
        <v>12</v>
      </c>
      <c r="K20" s="37"/>
      <c r="L20" s="38"/>
      <c r="M20" s="39">
        <f>M11+M16</f>
        <v>0</v>
      </c>
      <c r="N20" s="78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22"/>
      <c r="L21" s="40"/>
      <c r="M21" s="6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22"/>
      <c r="L22" s="41"/>
      <c r="M22" s="6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22"/>
      <c r="L23" s="41"/>
      <c r="M23" s="6"/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22"/>
      <c r="L24" s="41"/>
      <c r="M24" s="6"/>
    </row>
    <row r="25" ht="14.25" customHeight="1">
      <c r="A25" s="6"/>
      <c r="B25" s="42" t="s">
        <v>17</v>
      </c>
      <c r="C25" s="6"/>
      <c r="D25" s="6"/>
      <c r="E25" s="6"/>
      <c r="F25" s="6"/>
      <c r="G25" s="6"/>
      <c r="H25" s="6"/>
      <c r="I25" s="6"/>
      <c r="J25" s="50"/>
      <c r="K25" s="46"/>
      <c r="L25" s="41"/>
      <c r="M25" s="6"/>
    </row>
    <row r="26" ht="14.25" customHeight="1">
      <c r="A26" s="6"/>
      <c r="B26" s="8" t="s">
        <v>110</v>
      </c>
      <c r="C26" s="8"/>
      <c r="D26" s="6"/>
      <c r="E26" s="6"/>
      <c r="F26" s="6"/>
      <c r="G26" s="6"/>
      <c r="H26" s="6"/>
      <c r="I26" s="6"/>
      <c r="J26" s="50"/>
      <c r="K26" s="46"/>
      <c r="L26" s="41"/>
      <c r="M26" s="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50"/>
      <c r="K27" s="46"/>
      <c r="L27" s="41"/>
      <c r="M27" s="6"/>
    </row>
    <row r="28" ht="14.25" customHeight="1">
      <c r="A28" s="5"/>
      <c r="B28" s="25"/>
      <c r="C28" s="27" t="s">
        <v>3</v>
      </c>
      <c r="D28" s="43" t="s">
        <v>111</v>
      </c>
      <c r="E28" s="6"/>
      <c r="F28" s="6"/>
      <c r="G28" s="6"/>
      <c r="H28" s="6"/>
      <c r="I28" s="6"/>
      <c r="J28" s="50"/>
      <c r="K28" s="46"/>
      <c r="L28" s="41"/>
      <c r="M28" s="6"/>
    </row>
    <row r="29" ht="14.25" customHeight="1">
      <c r="A29" s="5"/>
      <c r="B29" s="24" t="s">
        <v>24</v>
      </c>
      <c r="C29" s="44">
        <v>41000.0</v>
      </c>
      <c r="D29" s="45" t="s">
        <v>25</v>
      </c>
      <c r="E29" s="6"/>
      <c r="F29" s="6"/>
      <c r="G29" s="6"/>
      <c r="H29" s="6"/>
      <c r="I29" s="6"/>
      <c r="J29" s="22"/>
      <c r="L29" s="41"/>
      <c r="M29" s="6"/>
    </row>
    <row r="30" ht="14.25" customHeight="1">
      <c r="A30" s="6"/>
      <c r="B30" s="44" t="s">
        <v>26</v>
      </c>
      <c r="C30" s="44">
        <v>4000.0</v>
      </c>
      <c r="D30" s="45" t="s">
        <v>25</v>
      </c>
      <c r="E30" s="6"/>
      <c r="F30" s="6"/>
      <c r="G30" s="6"/>
      <c r="H30" s="6"/>
      <c r="I30" s="6"/>
      <c r="J30" s="22"/>
      <c r="L30" s="41"/>
      <c r="M30" s="6"/>
    </row>
    <row r="31" ht="14.25" customHeight="1">
      <c r="A31" s="5"/>
      <c r="B31" s="44" t="s">
        <v>27</v>
      </c>
      <c r="C31" s="44">
        <v>1000.0</v>
      </c>
      <c r="D31" s="45" t="s">
        <v>25</v>
      </c>
      <c r="E31" s="6"/>
      <c r="F31" s="6"/>
      <c r="G31" s="6"/>
      <c r="H31" s="6"/>
      <c r="I31" s="6"/>
      <c r="J31" s="22"/>
      <c r="L31" s="41"/>
      <c r="M31" s="6"/>
    </row>
    <row r="32" ht="14.25" customHeight="1">
      <c r="A32" s="5"/>
      <c r="B32" s="44" t="s">
        <v>29</v>
      </c>
      <c r="C32" s="44">
        <v>104000.0</v>
      </c>
      <c r="D32" s="43" t="s">
        <v>101</v>
      </c>
      <c r="E32" s="6"/>
      <c r="F32" s="6"/>
      <c r="G32" s="6"/>
      <c r="H32" s="6"/>
      <c r="I32" s="6"/>
      <c r="J32" s="22"/>
      <c r="L32" s="41"/>
      <c r="M32" s="6"/>
    </row>
    <row r="33" ht="14.25" customHeight="1">
      <c r="A33" s="5"/>
      <c r="B33" s="44" t="s">
        <v>31</v>
      </c>
      <c r="C33" s="44">
        <v>5000.0</v>
      </c>
      <c r="D33" s="93" t="s">
        <v>25</v>
      </c>
      <c r="E33" s="6"/>
      <c r="F33" s="6"/>
      <c r="G33" s="6"/>
      <c r="H33" s="6"/>
      <c r="I33" s="6"/>
      <c r="J33" s="22"/>
      <c r="L33" s="41"/>
      <c r="M33" s="6"/>
    </row>
    <row r="34" ht="14.25" customHeight="1">
      <c r="A34" s="5"/>
      <c r="B34" s="44" t="s">
        <v>33</v>
      </c>
      <c r="C34" s="44">
        <v>8000.0</v>
      </c>
      <c r="D34" s="45" t="s">
        <v>25</v>
      </c>
      <c r="E34" s="6"/>
      <c r="F34" s="6"/>
      <c r="G34" s="6"/>
      <c r="H34" s="6"/>
      <c r="I34" s="6"/>
      <c r="J34" s="22"/>
      <c r="K34" s="46"/>
      <c r="L34" s="47"/>
      <c r="M34" s="6"/>
    </row>
    <row r="35" ht="14.25" customHeight="1">
      <c r="A35" s="5"/>
      <c r="B35" s="44" t="s">
        <v>34</v>
      </c>
      <c r="C35" s="44">
        <v>10000.0</v>
      </c>
      <c r="D35" s="45" t="s">
        <v>25</v>
      </c>
      <c r="E35" s="6"/>
      <c r="F35" s="6"/>
      <c r="G35" s="6"/>
      <c r="H35" s="6"/>
      <c r="I35" s="6"/>
      <c r="J35" s="48" t="s">
        <v>112</v>
      </c>
      <c r="K35" s="38"/>
      <c r="L35" s="49">
        <f>SUM(L21:L33)</f>
        <v>0</v>
      </c>
      <c r="M35" s="6"/>
    </row>
    <row r="36" ht="14.25" customHeight="1">
      <c r="A36" s="5"/>
      <c r="B36" s="44" t="s">
        <v>36</v>
      </c>
      <c r="C36" s="44">
        <v>2000.0</v>
      </c>
      <c r="D36" s="45" t="s">
        <v>25</v>
      </c>
      <c r="E36" s="6"/>
      <c r="F36" s="6"/>
      <c r="G36" s="6"/>
      <c r="H36" s="6"/>
      <c r="I36" s="6"/>
      <c r="J36" s="50"/>
      <c r="L36" s="51"/>
      <c r="M36" s="6"/>
    </row>
    <row r="37" ht="14.25" customHeight="1">
      <c r="A37" s="5"/>
      <c r="B37" s="18" t="s">
        <v>104</v>
      </c>
      <c r="C37" s="52">
        <v>0.0</v>
      </c>
      <c r="D37" s="45" t="s">
        <v>25</v>
      </c>
      <c r="E37" s="6"/>
      <c r="F37" s="6"/>
      <c r="G37" s="6"/>
      <c r="H37" s="6"/>
      <c r="I37" s="6"/>
      <c r="J37" s="50"/>
      <c r="L37" s="41"/>
      <c r="M37" s="6"/>
    </row>
    <row r="38" ht="14.25" customHeight="1">
      <c r="A38" s="5"/>
      <c r="B38" s="53" t="s">
        <v>11</v>
      </c>
      <c r="C38" s="54">
        <f>SUM(C29:C37)</f>
        <v>175000</v>
      </c>
      <c r="D38" s="55"/>
      <c r="E38" s="6"/>
      <c r="F38" s="6"/>
      <c r="G38" s="6"/>
      <c r="H38" s="6"/>
      <c r="I38" s="6"/>
      <c r="J38" s="50"/>
      <c r="L38" s="41"/>
      <c r="M38" s="6"/>
    </row>
    <row r="39" ht="14.25" customHeight="1">
      <c r="A39" s="5"/>
      <c r="B39" s="56"/>
      <c r="C39" s="57"/>
      <c r="D39" s="58"/>
      <c r="E39" s="6"/>
      <c r="F39" s="6"/>
      <c r="G39" s="6"/>
      <c r="H39" s="6"/>
      <c r="I39" s="6"/>
      <c r="J39" s="50"/>
      <c r="L39" s="41"/>
      <c r="M39" s="6"/>
    </row>
    <row r="40" ht="14.25" customHeight="1">
      <c r="A40" s="5"/>
      <c r="B40" s="6"/>
      <c r="C40" s="6"/>
      <c r="D40" s="6"/>
      <c r="E40" s="6"/>
      <c r="F40" s="6"/>
      <c r="G40" s="6"/>
      <c r="H40" s="6"/>
      <c r="I40" s="6"/>
      <c r="J40" s="50"/>
      <c r="L40" s="41"/>
      <c r="M40" s="22"/>
      <c r="N40" s="6"/>
    </row>
    <row r="41" ht="14.25" customHeight="1">
      <c r="A41" s="5"/>
      <c r="B41" s="6"/>
      <c r="C41" s="6"/>
      <c r="D41" s="6"/>
      <c r="E41" s="6"/>
      <c r="F41" s="6"/>
      <c r="G41" s="6"/>
      <c r="H41" s="6"/>
      <c r="I41" s="6"/>
      <c r="J41" s="50"/>
      <c r="L41" s="80"/>
      <c r="M41" s="22"/>
      <c r="N41" s="6"/>
    </row>
    <row r="42" ht="14.25" customHeight="1">
      <c r="A42" s="5"/>
      <c r="B42" s="6"/>
      <c r="C42" s="6"/>
      <c r="D42" s="6"/>
      <c r="E42" s="6"/>
      <c r="F42" s="6"/>
      <c r="G42" s="6"/>
      <c r="H42" s="6"/>
      <c r="I42" s="6"/>
      <c r="J42" s="50"/>
      <c r="L42" s="41"/>
      <c r="M42" s="22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81"/>
      <c r="K43" s="46"/>
      <c r="L43" s="19"/>
      <c r="M43" s="22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81"/>
      <c r="K44" s="46"/>
      <c r="L44" s="19"/>
      <c r="M44" s="22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7"/>
      <c r="M45" s="6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59" t="s">
        <v>113</v>
      </c>
      <c r="K46" s="60"/>
      <c r="L46" s="82">
        <f>SUM(L36:L45)</f>
        <v>0</v>
      </c>
      <c r="M46" s="6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63" t="s">
        <v>114</v>
      </c>
      <c r="K47" s="37"/>
      <c r="L47" s="38"/>
      <c r="M47" s="83">
        <f>L35+L46</f>
        <v>0</v>
      </c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65" t="s">
        <v>39</v>
      </c>
      <c r="K48" s="37"/>
      <c r="L48" s="38"/>
      <c r="M48" s="6"/>
      <c r="O48" s="6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67" t="s">
        <v>40</v>
      </c>
      <c r="K49" s="37"/>
      <c r="L49" s="84"/>
      <c r="M49" s="68"/>
      <c r="N49" s="78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67" t="s">
        <v>56</v>
      </c>
      <c r="K50" s="37"/>
      <c r="L50" s="84"/>
      <c r="M50" s="68"/>
      <c r="N50" s="78"/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9" t="s">
        <v>110</v>
      </c>
      <c r="J56" s="70"/>
      <c r="K56" s="44" t="s">
        <v>3</v>
      </c>
      <c r="L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71" t="s">
        <v>42</v>
      </c>
      <c r="J57" s="29"/>
      <c r="K57" s="72"/>
      <c r="L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17"/>
      <c r="J58" s="4"/>
      <c r="K58" s="13">
        <v>66000.0</v>
      </c>
      <c r="L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5"/>
      <c r="J59" s="6"/>
      <c r="K59" s="12">
        <v>5000.0</v>
      </c>
      <c r="L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5"/>
      <c r="J60" s="6"/>
      <c r="K60" s="12">
        <v>5000.0</v>
      </c>
      <c r="L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5"/>
      <c r="J61" s="6"/>
      <c r="K61" s="12">
        <v>5000.0</v>
      </c>
      <c r="L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5"/>
      <c r="J62" s="6"/>
      <c r="K62" s="12">
        <v>5000.0</v>
      </c>
      <c r="L62" s="6"/>
    </row>
    <row r="63" ht="14.25" customHeight="1">
      <c r="I63" s="5"/>
      <c r="J63" s="6"/>
      <c r="K63" s="12">
        <v>5000.0</v>
      </c>
      <c r="L63" s="91"/>
      <c r="M63" s="92"/>
    </row>
    <row r="64" ht="14.25" customHeight="1">
      <c r="I64" s="5"/>
      <c r="J64" s="6" t="s">
        <v>96</v>
      </c>
      <c r="K64" s="87">
        <v>0.0</v>
      </c>
      <c r="L64" s="91">
        <v>10000.0</v>
      </c>
      <c r="M64" s="92" t="s">
        <v>109</v>
      </c>
    </row>
    <row r="65" ht="14.25" customHeight="1">
      <c r="I65" s="5"/>
      <c r="J65" s="6"/>
      <c r="K65" s="12"/>
    </row>
    <row r="66" ht="14.25" customHeight="1">
      <c r="I66" s="73" t="s">
        <v>43</v>
      </c>
      <c r="J66" s="38"/>
      <c r="K66" s="68">
        <f>SUM(K58:K63)-K64</f>
        <v>91000</v>
      </c>
      <c r="L66" s="6"/>
    </row>
    <row r="67" ht="14.25" customHeight="1">
      <c r="J67" s="6"/>
      <c r="K67" s="6"/>
      <c r="L67" s="6"/>
    </row>
    <row r="68" ht="14.25" customHeight="1">
      <c r="J68" s="6"/>
      <c r="K68" s="6"/>
      <c r="L68" s="6"/>
    </row>
    <row r="69" ht="14.25" customHeight="1">
      <c r="J69" s="6"/>
      <c r="K69" s="6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5">
    <mergeCell ref="A1:F1"/>
    <mergeCell ref="J6:K6"/>
    <mergeCell ref="J7:L7"/>
    <mergeCell ref="D11:D13"/>
    <mergeCell ref="J12:L12"/>
    <mergeCell ref="B14:C14"/>
    <mergeCell ref="J17:L17"/>
    <mergeCell ref="J18:L18"/>
    <mergeCell ref="J19:L19"/>
    <mergeCell ref="J20:L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B38:B39"/>
    <mergeCell ref="C38:D39"/>
    <mergeCell ref="J39:K39"/>
    <mergeCell ref="J37:K37"/>
    <mergeCell ref="J38:K38"/>
    <mergeCell ref="J40:K40"/>
    <mergeCell ref="J41:K41"/>
    <mergeCell ref="J42:K42"/>
    <mergeCell ref="J43:K43"/>
    <mergeCell ref="J44:K44"/>
    <mergeCell ref="I56:J56"/>
    <mergeCell ref="I66:J66"/>
    <mergeCell ref="J45:K45"/>
    <mergeCell ref="J46:K46"/>
    <mergeCell ref="J47:L47"/>
    <mergeCell ref="J48:L48"/>
    <mergeCell ref="J49:L49"/>
    <mergeCell ref="J50:L50"/>
    <mergeCell ref="I57:K5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57"/>
    <col customWidth="1" min="3" max="3" width="15.43"/>
    <col customWidth="1" min="4" max="4" width="19.29"/>
    <col customWidth="1" min="5" max="9" width="8.71"/>
    <col customWidth="1" min="10" max="10" width="31.29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12.86"/>
    <col customWidth="1" min="16" max="26" width="8.71"/>
  </cols>
  <sheetData>
    <row r="1" ht="14.25" customHeight="1">
      <c r="A1" s="1" t="s">
        <v>115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2</v>
      </c>
      <c r="K4" s="6"/>
      <c r="L4" s="6"/>
      <c r="M4" s="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9" t="s">
        <v>115</v>
      </c>
      <c r="K6" s="10"/>
      <c r="L6" s="11" t="s">
        <v>3</v>
      </c>
      <c r="M6" s="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</row>
    <row r="8" ht="14.25" customHeight="1">
      <c r="A8" s="5"/>
      <c r="B8" s="17"/>
      <c r="C8" s="17" t="s">
        <v>6</v>
      </c>
      <c r="D8" s="18">
        <v>40000.0</v>
      </c>
      <c r="E8" s="6"/>
      <c r="F8" s="6"/>
      <c r="G8" s="6"/>
      <c r="H8" s="6"/>
      <c r="I8" s="6"/>
      <c r="J8" s="19"/>
      <c r="K8" s="4"/>
      <c r="L8" s="20">
        <v>0.0</v>
      </c>
      <c r="M8" s="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22"/>
      <c r="K9" s="6"/>
      <c r="L9" s="23"/>
      <c r="M9" s="6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22"/>
      <c r="K10" s="6"/>
      <c r="L10" s="23"/>
      <c r="M10" s="6"/>
    </row>
    <row r="11" ht="14.25" customHeight="1">
      <c r="A11" s="5"/>
      <c r="B11" s="17"/>
      <c r="C11" s="18"/>
      <c r="D11" s="88">
        <v>35000.0</v>
      </c>
      <c r="E11" s="6"/>
      <c r="F11" s="6"/>
      <c r="G11" s="6"/>
      <c r="H11" s="6"/>
      <c r="I11" s="6"/>
      <c r="J11" s="22"/>
      <c r="K11" s="6"/>
      <c r="L11" s="23"/>
      <c r="M11" s="26">
        <f>SUM(L8:L11)</f>
        <v>0</v>
      </c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8" t="s">
        <v>10</v>
      </c>
      <c r="K12" s="29"/>
      <c r="L12" s="30"/>
      <c r="M12" s="6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9"/>
      <c r="K13" s="4"/>
      <c r="L13" s="20">
        <v>0.0</v>
      </c>
      <c r="M13" s="6"/>
    </row>
    <row r="14" ht="14.25" customHeight="1">
      <c r="A14" s="5"/>
      <c r="B14" s="32" t="s">
        <v>11</v>
      </c>
      <c r="C14" s="33"/>
      <c r="D14" s="34">
        <f>SUM(D8:D11)</f>
        <v>175000</v>
      </c>
      <c r="E14" s="6"/>
      <c r="F14" s="6"/>
      <c r="G14" s="6"/>
      <c r="H14" s="6"/>
      <c r="I14" s="6"/>
      <c r="J14" s="22"/>
      <c r="K14" s="6"/>
      <c r="L14" s="23"/>
      <c r="M14" s="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22"/>
      <c r="K15" s="6"/>
      <c r="L15" s="23"/>
      <c r="M15" s="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K16" s="6"/>
      <c r="L16" s="23"/>
      <c r="M16" s="26">
        <f>SUM(L13:L16)</f>
        <v>0</v>
      </c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75" t="s">
        <v>98</v>
      </c>
      <c r="K17" s="76"/>
      <c r="L17" s="77"/>
      <c r="M17" s="64">
        <f>23000+38300+60000</f>
        <v>121300</v>
      </c>
      <c r="N17" s="6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63" t="s">
        <v>99</v>
      </c>
      <c r="K18" s="37"/>
      <c r="L18" s="38"/>
      <c r="M18" s="64">
        <v>400000.0</v>
      </c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79" t="s">
        <v>95</v>
      </c>
      <c r="K19" s="37"/>
      <c r="L19" s="38"/>
      <c r="M19" s="83">
        <v>120550.0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36" t="s">
        <v>12</v>
      </c>
      <c r="K20" s="37"/>
      <c r="L20" s="38"/>
      <c r="M20" s="39">
        <f>M11+M16</f>
        <v>0</v>
      </c>
      <c r="N20" s="78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22"/>
      <c r="L21" s="40"/>
      <c r="M21" s="6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22"/>
      <c r="L22" s="41"/>
      <c r="M22" s="6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22"/>
      <c r="L23" s="41"/>
      <c r="M23" s="6"/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22"/>
      <c r="L24" s="41"/>
      <c r="M24" s="6"/>
    </row>
    <row r="25" ht="14.25" customHeight="1">
      <c r="A25" s="6"/>
      <c r="B25" s="42" t="s">
        <v>17</v>
      </c>
      <c r="C25" s="6"/>
      <c r="D25" s="6"/>
      <c r="E25" s="6"/>
      <c r="F25" s="6"/>
      <c r="G25" s="6"/>
      <c r="H25" s="6"/>
      <c r="I25" s="6"/>
      <c r="J25" s="50"/>
      <c r="K25" s="46"/>
      <c r="L25" s="41"/>
      <c r="M25" s="6"/>
    </row>
    <row r="26" ht="14.25" customHeight="1">
      <c r="A26" s="6"/>
      <c r="B26" s="8" t="s">
        <v>115</v>
      </c>
      <c r="C26" s="8"/>
      <c r="D26" s="6"/>
      <c r="E26" s="6"/>
      <c r="F26" s="6"/>
      <c r="G26" s="6"/>
      <c r="H26" s="6"/>
      <c r="I26" s="6"/>
      <c r="J26" s="50"/>
      <c r="K26" s="46"/>
      <c r="L26" s="41"/>
      <c r="M26" s="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50"/>
      <c r="K27" s="46"/>
      <c r="L27" s="41"/>
      <c r="M27" s="6"/>
    </row>
    <row r="28" ht="14.25" customHeight="1">
      <c r="A28" s="5"/>
      <c r="B28" s="25"/>
      <c r="C28" s="27" t="s">
        <v>3</v>
      </c>
      <c r="D28" s="43" t="s">
        <v>116</v>
      </c>
      <c r="E28" s="6"/>
      <c r="F28" s="6"/>
      <c r="G28" s="6"/>
      <c r="H28" s="6"/>
      <c r="I28" s="6"/>
      <c r="J28" s="50"/>
      <c r="K28" s="46"/>
      <c r="L28" s="41"/>
      <c r="M28" s="6"/>
    </row>
    <row r="29" ht="14.25" customHeight="1">
      <c r="A29" s="5"/>
      <c r="B29" s="24" t="s">
        <v>24</v>
      </c>
      <c r="C29" s="44">
        <v>41000.0</v>
      </c>
      <c r="D29" s="45" t="s">
        <v>25</v>
      </c>
      <c r="E29" s="6"/>
      <c r="F29" s="6"/>
      <c r="G29" s="6"/>
      <c r="H29" s="6"/>
      <c r="I29" s="6"/>
      <c r="J29" s="22"/>
      <c r="L29" s="41"/>
      <c r="M29" s="6"/>
    </row>
    <row r="30" ht="14.25" customHeight="1">
      <c r="A30" s="6"/>
      <c r="B30" s="44" t="s">
        <v>26</v>
      </c>
      <c r="C30" s="44">
        <v>4000.0</v>
      </c>
      <c r="D30" s="45" t="s">
        <v>25</v>
      </c>
      <c r="E30" s="6"/>
      <c r="F30" s="6"/>
      <c r="G30" s="6"/>
      <c r="H30" s="6"/>
      <c r="I30" s="6"/>
      <c r="J30" s="22"/>
      <c r="L30" s="41"/>
      <c r="M30" s="6"/>
    </row>
    <row r="31" ht="14.25" customHeight="1">
      <c r="A31" s="5"/>
      <c r="B31" s="44" t="s">
        <v>27</v>
      </c>
      <c r="C31" s="44">
        <v>1000.0</v>
      </c>
      <c r="D31" s="45" t="s">
        <v>25</v>
      </c>
      <c r="E31" s="6"/>
      <c r="F31" s="6"/>
      <c r="G31" s="6"/>
      <c r="H31" s="6"/>
      <c r="I31" s="6"/>
      <c r="J31" s="22"/>
      <c r="L31" s="41"/>
      <c r="M31" s="6"/>
    </row>
    <row r="32" ht="14.25" customHeight="1">
      <c r="A32" s="5"/>
      <c r="B32" s="44" t="s">
        <v>29</v>
      </c>
      <c r="C32" s="44">
        <v>104000.0</v>
      </c>
      <c r="D32" s="45" t="s">
        <v>25</v>
      </c>
      <c r="E32" s="6"/>
      <c r="F32" s="6"/>
      <c r="G32" s="6"/>
      <c r="H32" s="6"/>
      <c r="I32" s="6"/>
      <c r="J32" s="22"/>
      <c r="L32" s="41"/>
      <c r="M32" s="6"/>
    </row>
    <row r="33" ht="14.25" customHeight="1">
      <c r="A33" s="5"/>
      <c r="B33" s="44" t="s">
        <v>31</v>
      </c>
      <c r="C33" s="44">
        <v>5000.0</v>
      </c>
      <c r="D33" s="45" t="s">
        <v>25</v>
      </c>
      <c r="E33" s="6"/>
      <c r="F33" s="6"/>
      <c r="G33" s="6"/>
      <c r="H33" s="6"/>
      <c r="I33" s="6"/>
      <c r="J33" s="22"/>
      <c r="L33" s="41"/>
      <c r="M33" s="6"/>
    </row>
    <row r="34" ht="14.25" customHeight="1">
      <c r="A34" s="5"/>
      <c r="B34" s="44" t="s">
        <v>33</v>
      </c>
      <c r="C34" s="44">
        <v>8000.0</v>
      </c>
      <c r="D34" s="45" t="s">
        <v>25</v>
      </c>
      <c r="E34" s="6"/>
      <c r="F34" s="6"/>
      <c r="G34" s="6"/>
      <c r="H34" s="6"/>
      <c r="I34" s="6"/>
      <c r="J34" s="22"/>
      <c r="K34" s="46"/>
      <c r="L34" s="47"/>
      <c r="M34" s="6"/>
    </row>
    <row r="35" ht="14.25" customHeight="1">
      <c r="A35" s="5"/>
      <c r="B35" s="44" t="s">
        <v>34</v>
      </c>
      <c r="C35" s="44">
        <v>10000.0</v>
      </c>
      <c r="D35" s="45" t="s">
        <v>25</v>
      </c>
      <c r="E35" s="6"/>
      <c r="F35" s="6"/>
      <c r="G35" s="6"/>
      <c r="H35" s="6"/>
      <c r="I35" s="6"/>
      <c r="J35" s="48" t="s">
        <v>117</v>
      </c>
      <c r="K35" s="38"/>
      <c r="L35" s="49">
        <f>SUM(L21:L33)</f>
        <v>0</v>
      </c>
      <c r="M35" s="6"/>
    </row>
    <row r="36" ht="14.25" customHeight="1">
      <c r="A36" s="5"/>
      <c r="B36" s="44" t="s">
        <v>36</v>
      </c>
      <c r="C36" s="44">
        <v>2000.0</v>
      </c>
      <c r="D36" s="45" t="s">
        <v>25</v>
      </c>
      <c r="E36" s="6"/>
      <c r="F36" s="6"/>
      <c r="G36" s="6"/>
      <c r="H36" s="6"/>
      <c r="I36" s="6"/>
      <c r="J36" s="50"/>
      <c r="L36" s="51"/>
      <c r="M36" s="6"/>
    </row>
    <row r="37" ht="14.25" customHeight="1">
      <c r="A37" s="5"/>
      <c r="B37" s="18" t="s">
        <v>104</v>
      </c>
      <c r="C37" s="52">
        <v>0.0</v>
      </c>
      <c r="D37" s="45" t="s">
        <v>25</v>
      </c>
      <c r="E37" s="6"/>
      <c r="F37" s="6"/>
      <c r="G37" s="6"/>
      <c r="H37" s="6"/>
      <c r="I37" s="6"/>
      <c r="J37" s="50"/>
      <c r="L37" s="41"/>
      <c r="M37" s="6"/>
    </row>
    <row r="38" ht="14.25" customHeight="1">
      <c r="A38" s="5"/>
      <c r="B38" s="53" t="s">
        <v>11</v>
      </c>
      <c r="C38" s="54">
        <f>SUM(C29:C37)</f>
        <v>175000</v>
      </c>
      <c r="D38" s="55"/>
      <c r="E38" s="6"/>
      <c r="F38" s="6"/>
      <c r="G38" s="6"/>
      <c r="H38" s="6"/>
      <c r="I38" s="6"/>
      <c r="J38" s="50"/>
      <c r="L38" s="41"/>
      <c r="M38" s="6"/>
    </row>
    <row r="39" ht="14.25" customHeight="1">
      <c r="A39" s="5"/>
      <c r="B39" s="56"/>
      <c r="C39" s="57"/>
      <c r="D39" s="58"/>
      <c r="E39" s="6"/>
      <c r="F39" s="6"/>
      <c r="G39" s="6"/>
      <c r="H39" s="6"/>
      <c r="I39" s="6"/>
      <c r="J39" s="50"/>
      <c r="L39" s="41"/>
      <c r="M39" s="6"/>
    </row>
    <row r="40" ht="14.25" customHeight="1">
      <c r="A40" s="5"/>
      <c r="B40" s="6"/>
      <c r="C40" s="6"/>
      <c r="D40" s="6"/>
      <c r="E40" s="6"/>
      <c r="F40" s="6"/>
      <c r="G40" s="6"/>
      <c r="H40" s="6"/>
      <c r="I40" s="6"/>
      <c r="J40" s="50"/>
      <c r="L40" s="41"/>
      <c r="M40" s="22"/>
      <c r="N40" s="6"/>
    </row>
    <row r="41" ht="14.25" customHeight="1">
      <c r="A41" s="5"/>
      <c r="B41" s="6"/>
      <c r="C41" s="6"/>
      <c r="D41" s="6"/>
      <c r="E41" s="6"/>
      <c r="F41" s="6"/>
      <c r="G41" s="6"/>
      <c r="H41" s="6"/>
      <c r="I41" s="6"/>
      <c r="J41" s="50"/>
      <c r="L41" s="80"/>
      <c r="M41" s="22"/>
      <c r="N41" s="6"/>
    </row>
    <row r="42" ht="14.25" customHeight="1">
      <c r="A42" s="5"/>
      <c r="B42" s="6"/>
      <c r="C42" s="6"/>
      <c r="D42" s="6"/>
      <c r="E42" s="6"/>
      <c r="F42" s="6"/>
      <c r="G42" s="6"/>
      <c r="H42" s="6"/>
      <c r="I42" s="6"/>
      <c r="J42" s="50"/>
      <c r="L42" s="41"/>
      <c r="M42" s="22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81"/>
      <c r="K43" s="46"/>
      <c r="L43" s="19"/>
      <c r="M43" s="22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81"/>
      <c r="K44" s="46"/>
      <c r="L44" s="19"/>
      <c r="M44" s="22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7"/>
      <c r="M45" s="6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59" t="s">
        <v>118</v>
      </c>
      <c r="K46" s="60"/>
      <c r="L46" s="82">
        <f>SUM(L36:L45)</f>
        <v>0</v>
      </c>
      <c r="M46" s="6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63" t="s">
        <v>119</v>
      </c>
      <c r="K47" s="37"/>
      <c r="L47" s="38"/>
      <c r="M47" s="83">
        <f>L35+L46</f>
        <v>0</v>
      </c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65" t="s">
        <v>39</v>
      </c>
      <c r="K48" s="37"/>
      <c r="L48" s="38"/>
      <c r="M48" s="6">
        <v>37000.0</v>
      </c>
      <c r="O48" s="6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67" t="s">
        <v>40</v>
      </c>
      <c r="K49" s="37"/>
      <c r="L49" s="84"/>
      <c r="M49" s="68"/>
      <c r="N49" s="78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67" t="s">
        <v>56</v>
      </c>
      <c r="K50" s="37"/>
      <c r="L50" s="84"/>
      <c r="M50" s="68"/>
      <c r="N50" s="78"/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9" t="s">
        <v>115</v>
      </c>
      <c r="J56" s="70"/>
      <c r="K56" s="44" t="s">
        <v>3</v>
      </c>
      <c r="L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71" t="s">
        <v>42</v>
      </c>
      <c r="J57" s="29"/>
      <c r="K57" s="72"/>
      <c r="L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17"/>
      <c r="J58" s="4"/>
      <c r="K58" s="13">
        <v>66000.0</v>
      </c>
      <c r="L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5"/>
      <c r="J59" s="6"/>
      <c r="K59" s="12">
        <v>5000.0</v>
      </c>
      <c r="L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5"/>
      <c r="J60" s="6"/>
      <c r="K60" s="12">
        <v>5000.0</v>
      </c>
      <c r="L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5"/>
      <c r="J61" s="6"/>
      <c r="K61" s="12">
        <v>5000.0</v>
      </c>
      <c r="L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5"/>
      <c r="J62" s="6"/>
      <c r="K62" s="12">
        <v>5000.0</v>
      </c>
      <c r="L62" s="6"/>
    </row>
    <row r="63" ht="14.25" customHeight="1">
      <c r="I63" s="5"/>
      <c r="J63" s="6"/>
      <c r="K63" s="12">
        <v>5000.0</v>
      </c>
      <c r="L63" s="91"/>
      <c r="M63" s="92"/>
    </row>
    <row r="64" ht="14.25" customHeight="1">
      <c r="I64" s="5"/>
      <c r="J64" s="6" t="s">
        <v>96</v>
      </c>
      <c r="K64" s="87">
        <v>0.0</v>
      </c>
      <c r="L64" s="91">
        <v>10000.0</v>
      </c>
      <c r="M64" s="92" t="s">
        <v>109</v>
      </c>
    </row>
    <row r="65" ht="14.25" customHeight="1">
      <c r="I65" s="5"/>
      <c r="J65" s="6"/>
      <c r="K65" s="12"/>
    </row>
    <row r="66" ht="14.25" customHeight="1">
      <c r="I66" s="73" t="s">
        <v>43</v>
      </c>
      <c r="J66" s="38"/>
      <c r="K66" s="68">
        <f>SUM(K58:K63)-K64</f>
        <v>91000</v>
      </c>
      <c r="L66" s="6"/>
    </row>
    <row r="67" ht="14.25" customHeight="1">
      <c r="J67" s="6"/>
      <c r="K67" s="6"/>
      <c r="L67" s="6"/>
    </row>
    <row r="68" ht="14.25" customHeight="1">
      <c r="J68" s="6"/>
      <c r="K68" s="6"/>
      <c r="L68" s="6"/>
    </row>
    <row r="69" ht="14.25" customHeight="1">
      <c r="J69" s="6"/>
      <c r="K69" s="6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5">
    <mergeCell ref="A1:F1"/>
    <mergeCell ref="J6:K6"/>
    <mergeCell ref="J7:L7"/>
    <mergeCell ref="D11:D13"/>
    <mergeCell ref="J12:L12"/>
    <mergeCell ref="B14:C14"/>
    <mergeCell ref="J17:L17"/>
    <mergeCell ref="J18:L18"/>
    <mergeCell ref="J19:L19"/>
    <mergeCell ref="J20:L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B38:B39"/>
    <mergeCell ref="C38:D39"/>
    <mergeCell ref="J39:K39"/>
    <mergeCell ref="J37:K37"/>
    <mergeCell ref="J38:K38"/>
    <mergeCell ref="J40:K40"/>
    <mergeCell ref="J41:K41"/>
    <mergeCell ref="J42:K42"/>
    <mergeCell ref="J43:K43"/>
    <mergeCell ref="J44:K44"/>
    <mergeCell ref="I56:J56"/>
    <mergeCell ref="I66:J66"/>
    <mergeCell ref="J45:K45"/>
    <mergeCell ref="J46:K46"/>
    <mergeCell ref="J47:L47"/>
    <mergeCell ref="J48:L48"/>
    <mergeCell ref="J49:L49"/>
    <mergeCell ref="J50:L50"/>
    <mergeCell ref="I57:K5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57"/>
    <col customWidth="1" min="3" max="3" width="15.43"/>
    <col customWidth="1" min="4" max="4" width="19.29"/>
    <col customWidth="1" min="5" max="9" width="8.71"/>
    <col customWidth="1" min="10" max="10" width="31.29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6.14"/>
    <col customWidth="1" min="16" max="16" width="15.57"/>
    <col customWidth="1" min="17" max="17" width="19.71"/>
    <col customWidth="1" min="18" max="18" width="20.0"/>
    <col customWidth="1" min="19" max="26" width="8.71"/>
  </cols>
  <sheetData>
    <row r="1" ht="14.25" customHeight="1">
      <c r="A1" s="1" t="s">
        <v>120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7" t="s">
        <v>122</v>
      </c>
      <c r="P4" s="6"/>
      <c r="Q4" s="6"/>
      <c r="R4" s="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6"/>
      <c r="P5" s="6"/>
      <c r="Q5" s="6"/>
      <c r="R5" s="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9" t="s">
        <v>120</v>
      </c>
      <c r="K6" s="10"/>
      <c r="L6" s="11" t="s">
        <v>3</v>
      </c>
      <c r="M6" s="6"/>
      <c r="O6" s="94" t="s">
        <v>120</v>
      </c>
      <c r="P6" s="10"/>
      <c r="Q6" s="95" t="s">
        <v>3</v>
      </c>
      <c r="R6" s="9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  <c r="O7" s="97" t="s">
        <v>5</v>
      </c>
      <c r="P7" s="15"/>
      <c r="Q7" s="16"/>
      <c r="R7" s="96"/>
    </row>
    <row r="8" ht="14.25" customHeight="1">
      <c r="A8" s="5"/>
      <c r="B8" s="17"/>
      <c r="C8" s="17" t="s">
        <v>6</v>
      </c>
      <c r="D8" s="18">
        <v>40000.0</v>
      </c>
      <c r="E8" s="6"/>
      <c r="F8" s="6"/>
      <c r="G8" s="6"/>
      <c r="H8" s="6"/>
      <c r="I8" s="6"/>
      <c r="J8" s="19"/>
      <c r="K8" s="98"/>
      <c r="L8" s="20">
        <v>0.0</v>
      </c>
      <c r="M8" s="6"/>
      <c r="O8" s="99"/>
      <c r="P8" s="98"/>
      <c r="Q8" s="100"/>
      <c r="R8" s="9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22"/>
      <c r="L9" s="23"/>
      <c r="M9" s="6"/>
      <c r="O9" s="101"/>
      <c r="Q9" s="102"/>
      <c r="R9" s="96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22"/>
      <c r="L10" s="23"/>
      <c r="M10" s="6"/>
      <c r="O10" s="101"/>
      <c r="Q10" s="102"/>
      <c r="R10" s="96"/>
    </row>
    <row r="11" ht="14.25" customHeight="1">
      <c r="A11" s="5"/>
      <c r="B11" s="17"/>
      <c r="C11" s="18"/>
      <c r="D11" s="88">
        <v>35000.0</v>
      </c>
      <c r="E11" s="6"/>
      <c r="F11" s="6"/>
      <c r="G11" s="6"/>
      <c r="H11" s="6"/>
      <c r="I11" s="6"/>
      <c r="J11" s="103"/>
      <c r="K11" s="104"/>
      <c r="L11" s="23"/>
      <c r="M11" s="26">
        <f>SUM(L8:L11)</f>
        <v>0</v>
      </c>
      <c r="O11" s="105"/>
      <c r="P11" s="104"/>
      <c r="Q11" s="102"/>
      <c r="R11" s="106"/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8" t="s">
        <v>10</v>
      </c>
      <c r="K12" s="29"/>
      <c r="L12" s="30"/>
      <c r="M12" s="6"/>
      <c r="O12" s="107" t="s">
        <v>10</v>
      </c>
      <c r="P12" s="29"/>
      <c r="Q12" s="30"/>
      <c r="R12" s="96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9" t="s">
        <v>123</v>
      </c>
      <c r="K13" s="98"/>
      <c r="L13" s="20">
        <v>37000.0</v>
      </c>
      <c r="M13" s="6"/>
      <c r="O13" s="99" t="s">
        <v>123</v>
      </c>
      <c r="P13" s="98"/>
      <c r="Q13" s="100">
        <v>188000.0</v>
      </c>
      <c r="R13" s="96"/>
    </row>
    <row r="14" ht="14.25" customHeight="1">
      <c r="A14" s="5"/>
      <c r="B14" s="32" t="s">
        <v>11</v>
      </c>
      <c r="C14" s="33"/>
      <c r="D14" s="34">
        <f>SUM(D8:D11)</f>
        <v>175000</v>
      </c>
      <c r="E14" s="6"/>
      <c r="F14" s="6"/>
      <c r="G14" s="6"/>
      <c r="H14" s="6"/>
      <c r="I14" s="6"/>
      <c r="J14" s="22" t="s">
        <v>124</v>
      </c>
      <c r="L14" s="23">
        <v>41200.0</v>
      </c>
      <c r="M14" s="6"/>
      <c r="O14" s="101"/>
      <c r="Q14" s="102"/>
      <c r="R14" s="9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22" t="s">
        <v>125</v>
      </c>
      <c r="L15" s="23">
        <v>3500.0</v>
      </c>
      <c r="M15" s="6"/>
      <c r="O15" s="101"/>
      <c r="Q15" s="102"/>
      <c r="R15" s="9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 t="s">
        <v>126</v>
      </c>
      <c r="L16" s="23">
        <v>20000.0</v>
      </c>
      <c r="M16" s="6"/>
      <c r="O16" s="101"/>
      <c r="Q16" s="102"/>
      <c r="R16" s="96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22" t="s">
        <v>127</v>
      </c>
      <c r="L17" s="23">
        <v>26000.0</v>
      </c>
      <c r="M17" s="6"/>
      <c r="O17" s="101"/>
      <c r="Q17" s="102"/>
      <c r="R17" s="96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 t="s">
        <v>128</v>
      </c>
      <c r="L18" s="23">
        <v>13000.0</v>
      </c>
      <c r="M18" s="6"/>
      <c r="O18" s="101"/>
      <c r="Q18" s="102"/>
      <c r="R18" s="96"/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23"/>
      <c r="M19" s="26">
        <f>SUM(L13:L19)</f>
        <v>140700</v>
      </c>
      <c r="O19" s="101"/>
      <c r="Q19" s="102"/>
      <c r="R19" s="106">
        <f>SUM(Q13:Q18)</f>
        <v>188000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108"/>
      <c r="P20" s="76"/>
      <c r="Q20" s="77"/>
      <c r="R20" s="109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110"/>
      <c r="P21" s="37"/>
      <c r="Q21" s="38"/>
      <c r="R21" s="109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111"/>
      <c r="P22" s="37"/>
      <c r="Q22" s="38"/>
      <c r="R22" s="112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36" t="s">
        <v>12</v>
      </c>
      <c r="K23" s="37"/>
      <c r="L23" s="38"/>
      <c r="M23" s="39">
        <f>M11+M19</f>
        <v>140700</v>
      </c>
      <c r="N23" s="78"/>
      <c r="O23" s="113" t="s">
        <v>12</v>
      </c>
      <c r="P23" s="37"/>
      <c r="Q23" s="38"/>
      <c r="R23" s="114"/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22" t="s">
        <v>129</v>
      </c>
      <c r="L24" s="40">
        <v>5000.0</v>
      </c>
      <c r="M24" s="6"/>
      <c r="O24" s="101"/>
      <c r="Q24" s="115"/>
      <c r="R24" s="96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22" t="s">
        <v>130</v>
      </c>
      <c r="L25" s="41">
        <v>3000.0</v>
      </c>
      <c r="M25" s="6"/>
      <c r="O25" s="101"/>
      <c r="Q25" s="116"/>
      <c r="R25" s="96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22" t="s">
        <v>131</v>
      </c>
      <c r="L26" s="41">
        <v>6400.0</v>
      </c>
      <c r="M26" s="6"/>
      <c r="O26" s="101"/>
      <c r="Q26" s="116"/>
      <c r="R26" s="9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22" t="s">
        <v>132</v>
      </c>
      <c r="L27" s="41">
        <v>4300.0</v>
      </c>
      <c r="M27" s="6"/>
      <c r="O27" s="101"/>
      <c r="Q27" s="116"/>
      <c r="R27" s="96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50" t="s">
        <v>133</v>
      </c>
      <c r="K28" s="46"/>
      <c r="L28" s="41">
        <v>6800.0</v>
      </c>
      <c r="M28" s="6"/>
      <c r="O28" s="117"/>
      <c r="P28" s="46"/>
      <c r="Q28" s="116"/>
      <c r="R28" s="96"/>
    </row>
    <row r="29" ht="14.25" customHeight="1">
      <c r="A29" s="6"/>
      <c r="B29" s="8" t="s">
        <v>120</v>
      </c>
      <c r="C29" s="8"/>
      <c r="D29" s="6"/>
      <c r="E29" s="6"/>
      <c r="F29" s="6"/>
      <c r="G29" s="6"/>
      <c r="H29" s="6"/>
      <c r="I29" s="6"/>
      <c r="J29" s="50" t="s">
        <v>134</v>
      </c>
      <c r="K29" s="46"/>
      <c r="L29" s="41">
        <v>4500.0</v>
      </c>
      <c r="M29" s="6"/>
      <c r="O29" s="117"/>
      <c r="P29" s="46"/>
      <c r="Q29" s="116"/>
      <c r="R29" s="96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50" t="s">
        <v>135</v>
      </c>
      <c r="K30" s="46"/>
      <c r="L30" s="41">
        <v>18000.0</v>
      </c>
      <c r="M30" s="6"/>
      <c r="O30" s="117"/>
      <c r="P30" s="46"/>
      <c r="Q30" s="116"/>
      <c r="R30" s="96"/>
    </row>
    <row r="31" ht="14.25" customHeight="1">
      <c r="A31" s="5"/>
      <c r="B31" s="25"/>
      <c r="C31" s="27" t="s">
        <v>3</v>
      </c>
      <c r="D31" s="43" t="s">
        <v>136</v>
      </c>
      <c r="E31" s="6"/>
      <c r="F31" s="6"/>
      <c r="G31" s="6"/>
      <c r="H31" s="6"/>
      <c r="I31" s="6"/>
      <c r="J31" s="50"/>
      <c r="K31" s="46"/>
      <c r="L31" s="41"/>
      <c r="M31" s="6"/>
      <c r="O31" s="117"/>
      <c r="P31" s="46"/>
      <c r="Q31" s="116"/>
      <c r="R31" s="96"/>
    </row>
    <row r="32" ht="14.25" customHeight="1">
      <c r="A32" s="5"/>
      <c r="B32" s="24" t="s">
        <v>24</v>
      </c>
      <c r="C32" s="44">
        <v>41000.0</v>
      </c>
      <c r="D32" s="45" t="s">
        <v>25</v>
      </c>
      <c r="E32" s="6"/>
      <c r="F32" s="6"/>
      <c r="G32" s="6"/>
      <c r="H32" s="6"/>
      <c r="I32" s="6"/>
      <c r="J32" s="22"/>
      <c r="L32" s="41"/>
      <c r="M32" s="6"/>
      <c r="O32" s="101"/>
      <c r="Q32" s="116"/>
      <c r="R32" s="96"/>
    </row>
    <row r="33" ht="14.25" customHeight="1">
      <c r="A33" s="6"/>
      <c r="B33" s="44" t="s">
        <v>26</v>
      </c>
      <c r="C33" s="44">
        <v>4000.0</v>
      </c>
      <c r="D33" s="45" t="s">
        <v>25</v>
      </c>
      <c r="E33" s="6"/>
      <c r="F33" s="6"/>
      <c r="G33" s="6"/>
      <c r="H33" s="6"/>
      <c r="I33" s="6"/>
      <c r="J33" s="22"/>
      <c r="L33" s="41"/>
      <c r="M33" s="6"/>
      <c r="O33" s="101"/>
      <c r="Q33" s="116"/>
      <c r="R33" s="96"/>
    </row>
    <row r="34" ht="14.25" customHeight="1">
      <c r="A34" s="5"/>
      <c r="B34" s="44" t="s">
        <v>27</v>
      </c>
      <c r="C34" s="44">
        <v>1000.0</v>
      </c>
      <c r="D34" s="45" t="s">
        <v>25</v>
      </c>
      <c r="E34" s="6"/>
      <c r="F34" s="6"/>
      <c r="G34" s="6"/>
      <c r="H34" s="6"/>
      <c r="I34" s="6"/>
      <c r="J34" s="22"/>
      <c r="L34" s="41"/>
      <c r="M34" s="6"/>
      <c r="O34" s="101"/>
      <c r="Q34" s="116"/>
      <c r="R34" s="96"/>
    </row>
    <row r="35" ht="14.25" customHeight="1">
      <c r="A35" s="5"/>
      <c r="B35" s="44" t="s">
        <v>29</v>
      </c>
      <c r="C35" s="44">
        <v>104000.0</v>
      </c>
      <c r="D35" s="45" t="s">
        <v>25</v>
      </c>
      <c r="E35" s="6"/>
      <c r="F35" s="6"/>
      <c r="G35" s="6"/>
      <c r="H35" s="6"/>
      <c r="I35" s="6"/>
      <c r="J35" s="22"/>
      <c r="L35" s="41"/>
      <c r="M35" s="6"/>
      <c r="O35" s="101"/>
      <c r="Q35" s="116"/>
      <c r="R35" s="96"/>
    </row>
    <row r="36" ht="14.25" customHeight="1">
      <c r="A36" s="5"/>
      <c r="B36" s="44" t="s">
        <v>31</v>
      </c>
      <c r="C36" s="44">
        <v>5000.0</v>
      </c>
      <c r="D36" s="45" t="s">
        <v>25</v>
      </c>
      <c r="E36" s="6"/>
      <c r="F36" s="6"/>
      <c r="G36" s="6"/>
      <c r="H36" s="6"/>
      <c r="I36" s="6"/>
      <c r="J36" s="22"/>
      <c r="L36" s="41"/>
      <c r="M36" s="6"/>
      <c r="O36" s="101"/>
      <c r="Q36" s="116"/>
      <c r="R36" s="96"/>
    </row>
    <row r="37" ht="14.25" customHeight="1">
      <c r="A37" s="5"/>
      <c r="B37" s="44" t="s">
        <v>33</v>
      </c>
      <c r="C37" s="44">
        <v>8000.0</v>
      </c>
      <c r="D37" s="45" t="s">
        <v>25</v>
      </c>
      <c r="E37" s="6"/>
      <c r="F37" s="6"/>
      <c r="G37" s="6"/>
      <c r="H37" s="6"/>
      <c r="I37" s="6"/>
      <c r="J37" s="22"/>
      <c r="K37" s="46"/>
      <c r="L37" s="47"/>
      <c r="M37" s="6"/>
      <c r="O37" s="101"/>
      <c r="P37" s="46"/>
      <c r="Q37" s="118"/>
      <c r="R37" s="96"/>
    </row>
    <row r="38" ht="14.25" customHeight="1">
      <c r="A38" s="5"/>
      <c r="B38" s="44" t="s">
        <v>34</v>
      </c>
      <c r="C38" s="44">
        <v>10000.0</v>
      </c>
      <c r="D38" s="45" t="s">
        <v>25</v>
      </c>
      <c r="E38" s="6"/>
      <c r="F38" s="6"/>
      <c r="G38" s="6"/>
      <c r="H38" s="6"/>
      <c r="I38" s="6"/>
      <c r="J38" s="48" t="s">
        <v>137</v>
      </c>
      <c r="K38" s="38"/>
      <c r="L38" s="49">
        <f>SUM(L24:L36)</f>
        <v>48000</v>
      </c>
      <c r="M38" s="6"/>
      <c r="O38" s="119" t="s">
        <v>137</v>
      </c>
      <c r="P38" s="38"/>
      <c r="Q38" s="120"/>
      <c r="R38" s="96"/>
    </row>
    <row r="39" ht="14.25" customHeight="1">
      <c r="A39" s="5"/>
      <c r="B39" s="44" t="s">
        <v>36</v>
      </c>
      <c r="C39" s="44">
        <v>2000.0</v>
      </c>
      <c r="D39" s="45" t="s">
        <v>25</v>
      </c>
      <c r="E39" s="6"/>
      <c r="F39" s="6"/>
      <c r="G39" s="6"/>
      <c r="H39" s="6"/>
      <c r="I39" s="6"/>
      <c r="J39" s="50" t="s">
        <v>138</v>
      </c>
      <c r="L39" s="51">
        <v>51000.0</v>
      </c>
      <c r="M39" s="6"/>
      <c r="O39" s="117" t="s">
        <v>139</v>
      </c>
      <c r="Q39" s="121">
        <v>25000.0</v>
      </c>
      <c r="R39" s="96"/>
    </row>
    <row r="40" ht="14.25" customHeight="1">
      <c r="A40" s="5"/>
      <c r="B40" s="18" t="s">
        <v>104</v>
      </c>
      <c r="C40" s="52">
        <v>0.0</v>
      </c>
      <c r="D40" s="45" t="s">
        <v>25</v>
      </c>
      <c r="E40" s="6"/>
      <c r="F40" s="6"/>
      <c r="G40" s="6"/>
      <c r="H40" s="6"/>
      <c r="I40" s="6"/>
      <c r="J40" s="50" t="s">
        <v>140</v>
      </c>
      <c r="L40" s="41">
        <v>1000.0</v>
      </c>
      <c r="M40" s="6"/>
      <c r="O40" s="117" t="s">
        <v>141</v>
      </c>
      <c r="Q40" s="116">
        <v>25000.0</v>
      </c>
      <c r="R40" s="96"/>
    </row>
    <row r="41" ht="14.25" customHeight="1">
      <c r="A41" s="5"/>
      <c r="B41" s="53" t="s">
        <v>11</v>
      </c>
      <c r="C41" s="54">
        <f>SUM(C32:C40)</f>
        <v>175000</v>
      </c>
      <c r="D41" s="55"/>
      <c r="E41" s="6"/>
      <c r="F41" s="6"/>
      <c r="G41" s="6"/>
      <c r="H41" s="6"/>
      <c r="I41" s="6"/>
      <c r="J41" s="50" t="s">
        <v>142</v>
      </c>
      <c r="L41" s="41">
        <v>3000.0</v>
      </c>
      <c r="M41" s="6"/>
      <c r="O41" s="117"/>
      <c r="Q41" s="116"/>
      <c r="R41" s="96"/>
    </row>
    <row r="42" ht="14.25" customHeight="1">
      <c r="A42" s="5"/>
      <c r="B42" s="56"/>
      <c r="C42" s="57"/>
      <c r="D42" s="58"/>
      <c r="E42" s="6"/>
      <c r="F42" s="6"/>
      <c r="G42" s="6"/>
      <c r="H42" s="6"/>
      <c r="I42" s="6"/>
      <c r="J42" s="50" t="s">
        <v>106</v>
      </c>
      <c r="L42" s="41">
        <v>1800.0</v>
      </c>
      <c r="M42" s="6"/>
      <c r="O42" s="117"/>
      <c r="Q42" s="116"/>
      <c r="R42" s="96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50" t="s">
        <v>143</v>
      </c>
      <c r="L43" s="41">
        <v>6000.0</v>
      </c>
      <c r="M43" s="22"/>
      <c r="N43" s="6"/>
      <c r="O43" s="117"/>
      <c r="Q43" s="116"/>
      <c r="R43" s="101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50"/>
      <c r="L44" s="80"/>
      <c r="M44" s="22"/>
      <c r="N44" s="6"/>
      <c r="O44" s="117"/>
      <c r="Q44" s="122"/>
      <c r="R44" s="101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22"/>
      <c r="O45" s="117"/>
      <c r="Q45" s="116"/>
      <c r="R45" s="101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81"/>
      <c r="K46" s="46"/>
      <c r="L46" s="19"/>
      <c r="M46" s="22"/>
      <c r="O46" s="123"/>
      <c r="P46" s="46"/>
      <c r="Q46" s="99"/>
      <c r="R46" s="101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81"/>
      <c r="K47" s="46"/>
      <c r="L47" s="19"/>
      <c r="M47" s="22"/>
      <c r="O47" s="123"/>
      <c r="P47" s="46"/>
      <c r="Q47" s="99"/>
      <c r="R47" s="101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50"/>
      <c r="L48" s="47"/>
      <c r="M48" s="6"/>
      <c r="O48" s="117"/>
      <c r="Q48" s="118"/>
      <c r="R48" s="96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59" t="s">
        <v>144</v>
      </c>
      <c r="K49" s="60"/>
      <c r="L49" s="82">
        <f>SUM(L39:L48)</f>
        <v>62800</v>
      </c>
      <c r="M49" s="6"/>
      <c r="O49" s="124" t="s">
        <v>144</v>
      </c>
      <c r="P49" s="60"/>
      <c r="Q49" s="125">
        <f>SUM(Q39:Q48)</f>
        <v>50000</v>
      </c>
      <c r="R49" s="96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63" t="s">
        <v>145</v>
      </c>
      <c r="K50" s="37"/>
      <c r="L50" s="38"/>
      <c r="M50" s="83">
        <f>L38+L49</f>
        <v>110800</v>
      </c>
      <c r="O50" s="110" t="s">
        <v>145</v>
      </c>
      <c r="P50" s="37"/>
      <c r="Q50" s="38"/>
      <c r="R50" s="112">
        <f>Q49</f>
        <v>50000</v>
      </c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65" t="s">
        <v>39</v>
      </c>
      <c r="K51" s="37"/>
      <c r="L51" s="38"/>
      <c r="M51" s="6">
        <f>M23-L38</f>
        <v>92700</v>
      </c>
      <c r="O51" s="126" t="s">
        <v>39</v>
      </c>
      <c r="P51" s="37"/>
      <c r="Q51" s="38"/>
      <c r="R51" s="96">
        <f>R19-R50</f>
        <v>138000</v>
      </c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67" t="s">
        <v>40</v>
      </c>
      <c r="K52" s="37"/>
      <c r="L52" s="84"/>
      <c r="M52" s="68"/>
      <c r="N52" s="78"/>
      <c r="O52" s="127" t="s">
        <v>40</v>
      </c>
      <c r="P52" s="37"/>
      <c r="Q52" s="84"/>
      <c r="R52" s="128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67" t="s">
        <v>56</v>
      </c>
      <c r="K53" s="37"/>
      <c r="L53" s="84"/>
      <c r="M53" s="68"/>
      <c r="N53" s="78"/>
      <c r="O53" s="127" t="s">
        <v>56</v>
      </c>
      <c r="P53" s="37"/>
      <c r="Q53" s="84"/>
      <c r="R53" s="128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69" t="s">
        <v>120</v>
      </c>
      <c r="J59" s="70"/>
      <c r="K59" s="44" t="s">
        <v>3</v>
      </c>
      <c r="L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71" t="s">
        <v>42</v>
      </c>
      <c r="J60" s="29"/>
      <c r="K60" s="72"/>
      <c r="L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17"/>
      <c r="J61" s="4"/>
      <c r="K61" s="13">
        <v>66000.0</v>
      </c>
      <c r="L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5"/>
      <c r="J62" s="6"/>
      <c r="K62" s="12">
        <v>25000.0</v>
      </c>
      <c r="L62" s="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5"/>
      <c r="J63" s="6"/>
      <c r="K63" s="12">
        <v>5000.0</v>
      </c>
      <c r="L63" s="6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5"/>
      <c r="J64" s="6"/>
      <c r="K64" s="12"/>
      <c r="L64" s="6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5"/>
      <c r="J65" s="6"/>
      <c r="K65" s="12"/>
      <c r="L65" s="6"/>
    </row>
    <row r="66" ht="14.25" customHeight="1">
      <c r="I66" s="5"/>
      <c r="J66" s="6"/>
      <c r="K66" s="12"/>
      <c r="L66" s="91"/>
      <c r="M66" s="92"/>
    </row>
    <row r="67" ht="14.25" customHeight="1">
      <c r="I67" s="5"/>
      <c r="J67" s="6"/>
      <c r="K67" s="87"/>
      <c r="L67" s="91"/>
      <c r="M67" s="92"/>
    </row>
    <row r="68" ht="14.25" customHeight="1">
      <c r="I68" s="5"/>
      <c r="J68" s="6"/>
      <c r="K68" s="12"/>
    </row>
    <row r="69" ht="14.25" customHeight="1">
      <c r="I69" s="73" t="s">
        <v>43</v>
      </c>
      <c r="J69" s="38"/>
      <c r="K69" s="68">
        <f>SUM(K61:K66)-K67</f>
        <v>96000</v>
      </c>
      <c r="L69" s="6"/>
    </row>
    <row r="70" ht="14.25" customHeight="1">
      <c r="J70" s="6"/>
      <c r="K70" s="6"/>
      <c r="L70" s="6"/>
    </row>
    <row r="71" ht="14.25" customHeight="1">
      <c r="J71" s="6"/>
      <c r="K71" s="6"/>
      <c r="L71" s="6"/>
    </row>
    <row r="72" ht="14.25" customHeight="1">
      <c r="J72" s="6"/>
      <c r="K72" s="6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4"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  <mergeCell ref="O34:P34"/>
    <mergeCell ref="O35:P35"/>
    <mergeCell ref="O27:P27"/>
    <mergeCell ref="O28:P28"/>
    <mergeCell ref="O29:P29"/>
    <mergeCell ref="O30:P30"/>
    <mergeCell ref="O31:P31"/>
    <mergeCell ref="O32:P32"/>
    <mergeCell ref="O33:P33"/>
    <mergeCell ref="J38:K38"/>
    <mergeCell ref="J39:K39"/>
    <mergeCell ref="J40:K40"/>
    <mergeCell ref="J34:K34"/>
    <mergeCell ref="J35:K35"/>
    <mergeCell ref="J36:K36"/>
    <mergeCell ref="O36:P36"/>
    <mergeCell ref="J37:K37"/>
    <mergeCell ref="O37:P37"/>
    <mergeCell ref="O38:P38"/>
    <mergeCell ref="O45:P45"/>
    <mergeCell ref="O46:P46"/>
    <mergeCell ref="J42:K42"/>
    <mergeCell ref="J43:K43"/>
    <mergeCell ref="O43:P43"/>
    <mergeCell ref="J44:K44"/>
    <mergeCell ref="O44:P44"/>
    <mergeCell ref="J45:K45"/>
    <mergeCell ref="J46:K46"/>
    <mergeCell ref="J50:L50"/>
    <mergeCell ref="J51:L51"/>
    <mergeCell ref="J52:L52"/>
    <mergeCell ref="J53:L53"/>
    <mergeCell ref="I59:J59"/>
    <mergeCell ref="I60:K60"/>
    <mergeCell ref="I69:J69"/>
    <mergeCell ref="O51:Q51"/>
    <mergeCell ref="O52:Q52"/>
    <mergeCell ref="O53:Q53"/>
    <mergeCell ref="J47:K47"/>
    <mergeCell ref="O47:P47"/>
    <mergeCell ref="J48:K48"/>
    <mergeCell ref="O48:P48"/>
    <mergeCell ref="J49:K49"/>
    <mergeCell ref="O49:P49"/>
    <mergeCell ref="O50:Q50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J10:K10"/>
    <mergeCell ref="O10:P10"/>
    <mergeCell ref="D11:D13"/>
    <mergeCell ref="J11:K11"/>
    <mergeCell ref="O11:P11"/>
    <mergeCell ref="J12:L12"/>
    <mergeCell ref="B14:C14"/>
    <mergeCell ref="O14:P14"/>
    <mergeCell ref="J13:K13"/>
    <mergeCell ref="J14:K14"/>
    <mergeCell ref="J15:K15"/>
    <mergeCell ref="J16:K16"/>
    <mergeCell ref="J17:K17"/>
    <mergeCell ref="J18:K18"/>
    <mergeCell ref="J19:K19"/>
    <mergeCell ref="J20:L20"/>
    <mergeCell ref="J21:L21"/>
    <mergeCell ref="J22:L22"/>
    <mergeCell ref="J23:L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O39:P39"/>
    <mergeCell ref="O40:P40"/>
    <mergeCell ref="B41:B42"/>
    <mergeCell ref="C41:D42"/>
    <mergeCell ref="J41:K41"/>
    <mergeCell ref="O41:P41"/>
    <mergeCell ref="O42:P4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57"/>
    <col customWidth="1" min="3" max="3" width="15.43"/>
    <col customWidth="1" min="4" max="4" width="19.29"/>
    <col customWidth="1" min="5" max="9" width="8.71"/>
    <col customWidth="1" min="10" max="10" width="34.43"/>
    <col customWidth="1" min="11" max="11" width="25.57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" t="s">
        <v>146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9" t="s">
        <v>146</v>
      </c>
      <c r="K6" s="10"/>
      <c r="L6" s="11" t="s">
        <v>3</v>
      </c>
      <c r="M6" s="6"/>
      <c r="O6" s="94" t="s">
        <v>146</v>
      </c>
      <c r="P6" s="10"/>
      <c r="Q6" s="95" t="s">
        <v>3</v>
      </c>
      <c r="R6" s="9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  <c r="O7" s="97" t="s">
        <v>5</v>
      </c>
      <c r="P7" s="15"/>
      <c r="Q7" s="16"/>
      <c r="R7" s="96"/>
    </row>
    <row r="8" ht="14.25" customHeight="1">
      <c r="A8" s="5"/>
      <c r="B8" s="17"/>
      <c r="C8" s="17" t="s">
        <v>6</v>
      </c>
      <c r="D8" s="18">
        <v>40000.0</v>
      </c>
      <c r="E8" s="6"/>
      <c r="F8" s="6"/>
      <c r="G8" s="6"/>
      <c r="H8" s="6"/>
      <c r="I8" s="6"/>
      <c r="J8" s="19"/>
      <c r="K8" s="98"/>
      <c r="L8" s="20">
        <v>0.0</v>
      </c>
      <c r="M8" s="6"/>
      <c r="O8" s="99"/>
      <c r="P8" s="98"/>
      <c r="Q8" s="100">
        <v>0.0</v>
      </c>
      <c r="R8" s="9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22"/>
      <c r="L9" s="23"/>
      <c r="M9" s="6"/>
      <c r="O9" s="101"/>
      <c r="Q9" s="102"/>
      <c r="R9" s="96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22"/>
      <c r="L10" s="23"/>
      <c r="M10" s="6"/>
      <c r="O10" s="101"/>
      <c r="Q10" s="102"/>
      <c r="R10" s="96"/>
    </row>
    <row r="11" ht="14.25" customHeight="1">
      <c r="A11" s="5"/>
      <c r="B11" s="17"/>
      <c r="C11" s="18"/>
      <c r="D11" s="88">
        <v>40000.0</v>
      </c>
      <c r="E11" s="6"/>
      <c r="F11" s="6"/>
      <c r="G11" s="6"/>
      <c r="H11" s="6"/>
      <c r="I11" s="6"/>
      <c r="J11" s="103"/>
      <c r="K11" s="104"/>
      <c r="L11" s="23"/>
      <c r="M11" s="26">
        <f>SUM(L8:L11)</f>
        <v>0</v>
      </c>
      <c r="O11" s="105"/>
      <c r="P11" s="104"/>
      <c r="Q11" s="102"/>
      <c r="R11" s="106">
        <f>SUM(Q8:Q11)</f>
        <v>0</v>
      </c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8" t="s">
        <v>10</v>
      </c>
      <c r="K12" s="29"/>
      <c r="L12" s="30"/>
      <c r="M12" s="6"/>
      <c r="O12" s="107" t="s">
        <v>10</v>
      </c>
      <c r="P12" s="29"/>
      <c r="Q12" s="30"/>
      <c r="R12" s="96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9" t="s">
        <v>147</v>
      </c>
      <c r="K13" s="98"/>
      <c r="L13" s="20">
        <v>92700.0</v>
      </c>
      <c r="M13" s="6"/>
      <c r="O13" s="99" t="s">
        <v>147</v>
      </c>
      <c r="P13" s="98"/>
      <c r="Q13" s="100">
        <v>138000.0</v>
      </c>
      <c r="R13" s="96"/>
    </row>
    <row r="14" ht="14.25" customHeight="1">
      <c r="A14" s="5"/>
      <c r="B14" s="32" t="s">
        <v>11</v>
      </c>
      <c r="C14" s="33"/>
      <c r="D14" s="34">
        <f>SUM(D8:D13)</f>
        <v>180000</v>
      </c>
      <c r="E14" s="6"/>
      <c r="F14" s="6"/>
      <c r="G14" s="6"/>
      <c r="H14" s="6"/>
      <c r="I14" s="6"/>
      <c r="J14" s="22" t="s">
        <v>124</v>
      </c>
      <c r="L14" s="130">
        <v>90700.0</v>
      </c>
      <c r="M14" s="6"/>
      <c r="O14" s="101" t="s">
        <v>124</v>
      </c>
      <c r="Q14" s="102"/>
      <c r="R14" s="96"/>
    </row>
    <row r="15" ht="14.25" customHeight="1">
      <c r="A15" s="5"/>
      <c r="B15" s="35"/>
      <c r="C15" s="35"/>
      <c r="D15" s="35"/>
      <c r="E15" s="131" t="s">
        <v>148</v>
      </c>
      <c r="F15" s="6"/>
      <c r="G15" s="6"/>
      <c r="H15" s="6"/>
      <c r="I15" s="6"/>
      <c r="J15" s="22"/>
      <c r="L15" s="23"/>
      <c r="M15" s="6"/>
      <c r="O15" s="101"/>
      <c r="Q15" s="102"/>
      <c r="R15" s="9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L16" s="23"/>
      <c r="M16" s="6"/>
      <c r="O16" s="101"/>
      <c r="Q16" s="102"/>
      <c r="R16" s="96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22"/>
      <c r="L17" s="23"/>
      <c r="M17" s="6"/>
      <c r="O17" s="101"/>
      <c r="Q17" s="102"/>
      <c r="R17" s="96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101"/>
      <c r="Q18" s="102"/>
      <c r="R18" s="96"/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23"/>
      <c r="M19" s="26">
        <f>SUM(L13:L18)</f>
        <v>183400</v>
      </c>
      <c r="O19" s="101"/>
      <c r="Q19" s="102"/>
      <c r="R19" s="106">
        <f>SUM(Q13:Q18)</f>
        <v>138000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108"/>
      <c r="P20" s="76"/>
      <c r="Q20" s="77"/>
      <c r="R20" s="109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110"/>
      <c r="P21" s="37"/>
      <c r="Q21" s="38"/>
      <c r="R21" s="109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111"/>
      <c r="P22" s="37"/>
      <c r="Q22" s="38"/>
      <c r="R22" s="112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36" t="s">
        <v>12</v>
      </c>
      <c r="K23" s="37"/>
      <c r="L23" s="38"/>
      <c r="M23" s="39">
        <f>M11+M19</f>
        <v>183400</v>
      </c>
      <c r="N23" s="78"/>
      <c r="O23" s="113" t="s">
        <v>12</v>
      </c>
      <c r="P23" s="37"/>
      <c r="Q23" s="38"/>
      <c r="R23" s="114">
        <f>R11+R19</f>
        <v>138000</v>
      </c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32" t="s">
        <v>149</v>
      </c>
      <c r="L24" s="133">
        <v>5000.0</v>
      </c>
      <c r="M24" s="6"/>
      <c r="O24" s="101"/>
      <c r="Q24" s="115"/>
      <c r="R24" s="96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32" t="s">
        <v>150</v>
      </c>
      <c r="L25" s="134">
        <v>2000.0</v>
      </c>
      <c r="M25" s="6"/>
      <c r="O25" s="101"/>
      <c r="Q25" s="116"/>
      <c r="R25" s="96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2" t="s">
        <v>151</v>
      </c>
      <c r="L26" s="134">
        <v>16000.0</v>
      </c>
      <c r="M26" s="6"/>
      <c r="O26" s="101"/>
      <c r="Q26" s="116"/>
      <c r="R26" s="9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132" t="s">
        <v>152</v>
      </c>
      <c r="L27" s="134">
        <v>10500.0</v>
      </c>
      <c r="M27" s="6"/>
      <c r="O27" s="101"/>
      <c r="Q27" s="116"/>
      <c r="R27" s="96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135" t="s">
        <v>153</v>
      </c>
      <c r="K28" s="46"/>
      <c r="L28" s="134">
        <v>2000.0</v>
      </c>
      <c r="M28" s="6"/>
      <c r="O28" s="117"/>
      <c r="P28" s="46"/>
      <c r="Q28" s="116"/>
      <c r="R28" s="96"/>
    </row>
    <row r="29" ht="14.25" customHeight="1">
      <c r="A29" s="6"/>
      <c r="B29" s="8" t="s">
        <v>146</v>
      </c>
      <c r="C29" s="8"/>
      <c r="D29" s="6"/>
      <c r="E29" s="6"/>
      <c r="F29" s="6"/>
      <c r="G29" s="6"/>
      <c r="H29" s="6"/>
      <c r="I29" s="6"/>
      <c r="J29" s="135" t="s">
        <v>154</v>
      </c>
      <c r="K29" s="46"/>
      <c r="L29" s="134">
        <v>20000.0</v>
      </c>
      <c r="M29" s="6"/>
      <c r="O29" s="117"/>
      <c r="P29" s="46"/>
      <c r="Q29" s="116"/>
      <c r="R29" s="96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135" t="s">
        <v>155</v>
      </c>
      <c r="K30" s="46"/>
      <c r="L30" s="134">
        <v>38750.0</v>
      </c>
      <c r="M30" s="131" t="s">
        <v>156</v>
      </c>
      <c r="O30" s="117"/>
      <c r="P30" s="46"/>
      <c r="Q30" s="116"/>
      <c r="R30" s="96"/>
    </row>
    <row r="31" ht="14.25" customHeight="1">
      <c r="A31" s="5"/>
      <c r="B31" s="25"/>
      <c r="C31" s="27" t="s">
        <v>3</v>
      </c>
      <c r="D31" s="43" t="s">
        <v>157</v>
      </c>
      <c r="E31" s="6"/>
      <c r="F31" s="6"/>
      <c r="G31" s="6"/>
      <c r="H31" s="6"/>
      <c r="I31" s="6"/>
      <c r="J31" s="135" t="s">
        <v>158</v>
      </c>
      <c r="K31" s="46"/>
      <c r="L31" s="134">
        <v>3800.0</v>
      </c>
      <c r="M31" s="6"/>
      <c r="O31" s="117"/>
      <c r="P31" s="46"/>
      <c r="Q31" s="116"/>
      <c r="R31" s="96"/>
    </row>
    <row r="32" ht="14.25" customHeight="1">
      <c r="A32" s="5"/>
      <c r="B32" s="24" t="s">
        <v>24</v>
      </c>
      <c r="C32" s="44">
        <v>41000.0</v>
      </c>
      <c r="D32" s="45" t="s">
        <v>25</v>
      </c>
      <c r="E32" s="6"/>
      <c r="F32" s="6"/>
      <c r="G32" s="6"/>
      <c r="H32" s="6"/>
      <c r="I32" s="6"/>
      <c r="J32" s="132" t="s">
        <v>159</v>
      </c>
      <c r="L32" s="134">
        <v>2100.0</v>
      </c>
      <c r="M32" s="6"/>
      <c r="O32" s="101"/>
      <c r="Q32" s="116"/>
      <c r="R32" s="96"/>
    </row>
    <row r="33" ht="14.25" customHeight="1">
      <c r="A33" s="6"/>
      <c r="B33" s="44" t="s">
        <v>26</v>
      </c>
      <c r="C33" s="44">
        <v>4000.0</v>
      </c>
      <c r="D33" s="45" t="s">
        <v>25</v>
      </c>
      <c r="E33" s="6"/>
      <c r="F33" s="6"/>
      <c r="G33" s="6"/>
      <c r="H33" s="6"/>
      <c r="I33" s="6"/>
      <c r="J33" s="132" t="s">
        <v>160</v>
      </c>
      <c r="L33" s="134">
        <v>1050.0</v>
      </c>
      <c r="M33" s="6"/>
      <c r="O33" s="101"/>
      <c r="Q33" s="116"/>
      <c r="R33" s="96"/>
    </row>
    <row r="34" ht="14.25" customHeight="1">
      <c r="A34" s="5"/>
      <c r="B34" s="44" t="s">
        <v>27</v>
      </c>
      <c r="C34" s="44">
        <v>1000.0</v>
      </c>
      <c r="D34" s="45" t="s">
        <v>25</v>
      </c>
      <c r="E34" s="6"/>
      <c r="F34" s="6"/>
      <c r="G34" s="6"/>
      <c r="H34" s="6"/>
      <c r="I34" s="6"/>
      <c r="J34" s="132" t="s">
        <v>16</v>
      </c>
      <c r="L34" s="134">
        <v>2500.0</v>
      </c>
      <c r="M34" s="6"/>
      <c r="O34" s="101"/>
      <c r="Q34" s="116"/>
      <c r="R34" s="96"/>
    </row>
    <row r="35" ht="14.25" customHeight="1">
      <c r="A35" s="5"/>
      <c r="B35" s="44" t="s">
        <v>29</v>
      </c>
      <c r="C35" s="44">
        <v>111000.0</v>
      </c>
      <c r="D35" s="45" t="s">
        <v>25</v>
      </c>
      <c r="E35" s="6"/>
      <c r="F35" s="6"/>
      <c r="G35" s="6"/>
      <c r="H35" s="6"/>
      <c r="I35" s="6"/>
      <c r="J35" s="132" t="s">
        <v>161</v>
      </c>
      <c r="L35" s="134">
        <v>7000.0</v>
      </c>
      <c r="M35" s="6"/>
      <c r="O35" s="101"/>
      <c r="Q35" s="116"/>
      <c r="R35" s="96"/>
    </row>
    <row r="36" ht="14.25" customHeight="1">
      <c r="A36" s="5"/>
      <c r="B36" s="44" t="s">
        <v>31</v>
      </c>
      <c r="C36" s="44">
        <v>5000.0</v>
      </c>
      <c r="D36" s="45" t="s">
        <v>25</v>
      </c>
      <c r="E36" s="6"/>
      <c r="F36" s="6"/>
      <c r="G36" s="6"/>
      <c r="H36" s="6"/>
      <c r="I36" s="6"/>
      <c r="J36" s="132"/>
      <c r="L36" s="134"/>
      <c r="M36" s="6"/>
      <c r="O36" s="101"/>
      <c r="Q36" s="116"/>
      <c r="R36" s="96"/>
    </row>
    <row r="37" ht="14.25" customHeight="1">
      <c r="A37" s="5"/>
      <c r="B37" s="44" t="s">
        <v>33</v>
      </c>
      <c r="C37" s="44">
        <v>8000.0</v>
      </c>
      <c r="D37" s="43" t="s">
        <v>101</v>
      </c>
      <c r="E37" s="6"/>
      <c r="F37" s="6"/>
      <c r="G37" s="6"/>
      <c r="H37" s="6"/>
      <c r="I37" s="6"/>
      <c r="J37" s="22"/>
      <c r="K37" s="46"/>
      <c r="L37" s="47"/>
      <c r="M37" s="131">
        <v>11000.0</v>
      </c>
      <c r="O37" s="101"/>
      <c r="P37" s="46"/>
      <c r="Q37" s="118"/>
      <c r="R37" s="96"/>
    </row>
    <row r="38" ht="14.25" customHeight="1">
      <c r="A38" s="5"/>
      <c r="B38" s="44" t="s">
        <v>34</v>
      </c>
      <c r="C38" s="44">
        <v>10000.0</v>
      </c>
      <c r="D38" s="43" t="s">
        <v>101</v>
      </c>
      <c r="E38" s="6"/>
      <c r="F38" s="6"/>
      <c r="G38" s="6"/>
      <c r="H38" s="6"/>
      <c r="I38" s="6"/>
      <c r="J38" s="48" t="s">
        <v>162</v>
      </c>
      <c r="K38" s="38"/>
      <c r="L38" s="49">
        <f>SUM(L24:L36)</f>
        <v>110700</v>
      </c>
      <c r="M38" s="131">
        <v>29000.0</v>
      </c>
      <c r="O38" s="119" t="s">
        <v>162</v>
      </c>
      <c r="P38" s="38"/>
      <c r="Q38" s="120">
        <f>SUM(Q24:Q36)</f>
        <v>0</v>
      </c>
      <c r="R38" s="96"/>
    </row>
    <row r="39" ht="14.25" customHeight="1">
      <c r="A39" s="5"/>
      <c r="B39" s="44" t="s">
        <v>36</v>
      </c>
      <c r="C39" s="44">
        <v>0.0</v>
      </c>
      <c r="D39" s="45" t="s">
        <v>25</v>
      </c>
      <c r="E39" s="6"/>
      <c r="F39" s="6"/>
      <c r="G39" s="6"/>
      <c r="H39" s="6"/>
      <c r="I39" s="6"/>
      <c r="J39" s="135" t="s">
        <v>163</v>
      </c>
      <c r="L39" s="136">
        <v>1800.0</v>
      </c>
      <c r="M39" s="6"/>
      <c r="O39" s="137" t="s">
        <v>164</v>
      </c>
      <c r="Q39" s="138">
        <v>138000.0</v>
      </c>
      <c r="R39" s="96"/>
    </row>
    <row r="40" ht="14.25" customHeight="1">
      <c r="A40" s="5"/>
      <c r="B40" s="18" t="s">
        <v>104</v>
      </c>
      <c r="C40" s="52">
        <v>0.0</v>
      </c>
      <c r="D40" s="45" t="s">
        <v>25</v>
      </c>
      <c r="E40" s="6"/>
      <c r="F40" s="6"/>
      <c r="G40" s="6"/>
      <c r="H40" s="6"/>
      <c r="I40" s="6"/>
      <c r="J40" s="135" t="s">
        <v>165</v>
      </c>
      <c r="L40" s="134">
        <v>7500.0</v>
      </c>
      <c r="M40" s="6"/>
      <c r="O40" s="117"/>
      <c r="Q40" s="116"/>
      <c r="R40" s="96"/>
    </row>
    <row r="41" ht="14.25" customHeight="1">
      <c r="A41" s="5"/>
      <c r="B41" s="53" t="s">
        <v>11</v>
      </c>
      <c r="C41" s="54">
        <f>SUM(C32:C40)</f>
        <v>180000</v>
      </c>
      <c r="D41" s="55"/>
      <c r="E41" s="6"/>
      <c r="F41" s="6"/>
      <c r="G41" s="6"/>
      <c r="H41" s="6"/>
      <c r="I41" s="6"/>
      <c r="J41" s="50"/>
      <c r="L41" s="41"/>
      <c r="M41" s="6"/>
      <c r="O41" s="117"/>
      <c r="Q41" s="116"/>
      <c r="R41" s="96"/>
    </row>
    <row r="42" ht="14.25" customHeight="1">
      <c r="A42" s="5"/>
      <c r="B42" s="56"/>
      <c r="C42" s="57"/>
      <c r="D42" s="58"/>
      <c r="E42" s="6"/>
      <c r="F42" s="6"/>
      <c r="G42" s="6"/>
      <c r="H42" s="6"/>
      <c r="I42" s="6"/>
      <c r="J42" s="50"/>
      <c r="L42" s="41"/>
      <c r="M42" s="6"/>
      <c r="O42" s="117"/>
      <c r="Q42" s="116"/>
      <c r="R42" s="96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50"/>
      <c r="L43" s="41"/>
      <c r="M43" s="22"/>
      <c r="N43" s="6"/>
      <c r="O43" s="117"/>
      <c r="Q43" s="116"/>
      <c r="R43" s="101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50"/>
      <c r="L44" s="80"/>
      <c r="M44" s="22"/>
      <c r="N44" s="6"/>
      <c r="O44" s="117"/>
      <c r="Q44" s="122"/>
      <c r="R44" s="101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22"/>
      <c r="O45" s="117"/>
      <c r="Q45" s="116"/>
      <c r="R45" s="101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81"/>
      <c r="K46" s="46"/>
      <c r="L46" s="19"/>
      <c r="M46" s="22"/>
      <c r="O46" s="123"/>
      <c r="P46" s="46"/>
      <c r="Q46" s="99"/>
      <c r="R46" s="101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81"/>
      <c r="K47" s="46"/>
      <c r="L47" s="19"/>
      <c r="M47" s="22"/>
      <c r="O47" s="123"/>
      <c r="P47" s="46"/>
      <c r="Q47" s="99"/>
      <c r="R47" s="101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50"/>
      <c r="L48" s="47"/>
      <c r="M48" s="131">
        <v>61700.0</v>
      </c>
      <c r="O48" s="117"/>
      <c r="Q48" s="118"/>
      <c r="R48" s="96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59" t="s">
        <v>166</v>
      </c>
      <c r="K49" s="60"/>
      <c r="L49" s="82">
        <f>SUM(L39:L48)</f>
        <v>9300</v>
      </c>
      <c r="M49" s="6"/>
      <c r="O49" s="124" t="s">
        <v>166</v>
      </c>
      <c r="P49" s="60"/>
      <c r="Q49" s="125">
        <f>SUM(Q39:Q48)</f>
        <v>138000</v>
      </c>
      <c r="R49" s="96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63" t="s">
        <v>167</v>
      </c>
      <c r="K50" s="37"/>
      <c r="L50" s="38"/>
      <c r="M50" s="83">
        <f>L38+L49</f>
        <v>120000</v>
      </c>
      <c r="O50" s="110" t="s">
        <v>167</v>
      </c>
      <c r="P50" s="37"/>
      <c r="Q50" s="38"/>
      <c r="R50" s="112">
        <f>Q38+Q49</f>
        <v>138000</v>
      </c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65" t="s">
        <v>39</v>
      </c>
      <c r="K51" s="37"/>
      <c r="L51" s="38"/>
      <c r="M51" s="131">
        <f>M38+M48+7000+5000</f>
        <v>102700</v>
      </c>
      <c r="O51" s="126" t="s">
        <v>39</v>
      </c>
      <c r="P51" s="37"/>
      <c r="Q51" s="38"/>
      <c r="R51" s="96">
        <f>R23-R50</f>
        <v>0</v>
      </c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67" t="s">
        <v>40</v>
      </c>
      <c r="K52" s="37"/>
      <c r="L52" s="84"/>
      <c r="M52" s="68"/>
      <c r="N52" s="78"/>
      <c r="O52" s="127" t="s">
        <v>40</v>
      </c>
      <c r="P52" s="37"/>
      <c r="Q52" s="84"/>
      <c r="R52" s="128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67" t="s">
        <v>56</v>
      </c>
      <c r="K53" s="37"/>
      <c r="L53" s="84"/>
      <c r="M53" s="68"/>
      <c r="N53" s="78"/>
      <c r="O53" s="127" t="s">
        <v>56</v>
      </c>
      <c r="P53" s="37"/>
      <c r="Q53" s="84"/>
      <c r="R53" s="128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69" t="s">
        <v>146</v>
      </c>
      <c r="J59" s="70"/>
      <c r="K59" s="44" t="s">
        <v>3</v>
      </c>
      <c r="L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71" t="s">
        <v>42</v>
      </c>
      <c r="J60" s="29"/>
      <c r="K60" s="72"/>
      <c r="L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17"/>
      <c r="J61" s="4"/>
      <c r="K61" s="13">
        <v>66000.0</v>
      </c>
      <c r="L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5"/>
      <c r="J62" s="6"/>
      <c r="K62" s="12">
        <v>25000.0</v>
      </c>
      <c r="L62" s="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5"/>
      <c r="J63" s="6"/>
      <c r="K63" s="12">
        <v>10000.0</v>
      </c>
      <c r="L63" s="6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5"/>
      <c r="J64" s="6"/>
      <c r="K64" s="12"/>
      <c r="L64" s="6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5"/>
      <c r="J65" s="6"/>
      <c r="K65" s="12"/>
      <c r="L65" s="6"/>
    </row>
    <row r="66" ht="14.25" customHeight="1">
      <c r="I66" s="5"/>
      <c r="J66" s="6"/>
      <c r="K66" s="12"/>
      <c r="L66" s="91"/>
      <c r="M66" s="92"/>
    </row>
    <row r="67" ht="14.25" customHeight="1">
      <c r="I67" s="5"/>
      <c r="J67" s="6"/>
      <c r="K67" s="87"/>
      <c r="L67" s="91"/>
      <c r="M67" s="92"/>
    </row>
    <row r="68" ht="14.25" customHeight="1">
      <c r="I68" s="5"/>
      <c r="J68" s="6"/>
      <c r="K68" s="12"/>
    </row>
    <row r="69" ht="14.25" customHeight="1">
      <c r="I69" s="73" t="s">
        <v>43</v>
      </c>
      <c r="J69" s="38"/>
      <c r="K69" s="68">
        <f>SUM(K61:K66)-K67</f>
        <v>101000</v>
      </c>
      <c r="L69" s="6"/>
    </row>
    <row r="70" ht="14.25" customHeight="1">
      <c r="J70" s="6"/>
      <c r="K70" s="6"/>
      <c r="L70" s="6"/>
    </row>
    <row r="71" ht="14.25" customHeight="1">
      <c r="J71" s="6"/>
      <c r="K71" s="6"/>
      <c r="L71" s="6"/>
    </row>
    <row r="72" ht="14.25" customHeight="1">
      <c r="J72" s="6"/>
      <c r="K72" s="6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4"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  <mergeCell ref="O34:P34"/>
    <mergeCell ref="O35:P35"/>
    <mergeCell ref="O27:P27"/>
    <mergeCell ref="O28:P28"/>
    <mergeCell ref="O29:P29"/>
    <mergeCell ref="O30:P30"/>
    <mergeCell ref="O31:P31"/>
    <mergeCell ref="O32:P32"/>
    <mergeCell ref="O33:P33"/>
    <mergeCell ref="J38:K38"/>
    <mergeCell ref="J39:K39"/>
    <mergeCell ref="J40:K40"/>
    <mergeCell ref="J34:K34"/>
    <mergeCell ref="J35:K35"/>
    <mergeCell ref="J36:K36"/>
    <mergeCell ref="O36:P36"/>
    <mergeCell ref="J37:K37"/>
    <mergeCell ref="O37:P37"/>
    <mergeCell ref="O38:P38"/>
    <mergeCell ref="O45:P45"/>
    <mergeCell ref="O46:P46"/>
    <mergeCell ref="J42:K42"/>
    <mergeCell ref="J43:K43"/>
    <mergeCell ref="O43:P43"/>
    <mergeCell ref="J44:K44"/>
    <mergeCell ref="O44:P44"/>
    <mergeCell ref="J45:K45"/>
    <mergeCell ref="J46:K46"/>
    <mergeCell ref="J50:L50"/>
    <mergeCell ref="J51:L51"/>
    <mergeCell ref="J52:L52"/>
    <mergeCell ref="J53:L53"/>
    <mergeCell ref="I59:J59"/>
    <mergeCell ref="I60:K60"/>
    <mergeCell ref="I69:J69"/>
    <mergeCell ref="O51:Q51"/>
    <mergeCell ref="O52:Q52"/>
    <mergeCell ref="O53:Q53"/>
    <mergeCell ref="J47:K47"/>
    <mergeCell ref="O47:P47"/>
    <mergeCell ref="J48:K48"/>
    <mergeCell ref="O48:P48"/>
    <mergeCell ref="J49:K49"/>
    <mergeCell ref="O49:P49"/>
    <mergeCell ref="O50:Q50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J10:K10"/>
    <mergeCell ref="O10:P10"/>
    <mergeCell ref="D11:D13"/>
    <mergeCell ref="J11:K11"/>
    <mergeCell ref="O11:P11"/>
    <mergeCell ref="J12:L12"/>
    <mergeCell ref="B14:C14"/>
    <mergeCell ref="O14:P14"/>
    <mergeCell ref="J13:K13"/>
    <mergeCell ref="J14:K14"/>
    <mergeCell ref="J15:K15"/>
    <mergeCell ref="J16:K16"/>
    <mergeCell ref="J17:K17"/>
    <mergeCell ref="J18:K18"/>
    <mergeCell ref="J19:K19"/>
    <mergeCell ref="J20:L20"/>
    <mergeCell ref="J21:L21"/>
    <mergeCell ref="J22:L22"/>
    <mergeCell ref="J23:L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O39:P39"/>
    <mergeCell ref="O40:P40"/>
    <mergeCell ref="B41:B42"/>
    <mergeCell ref="C41:D42"/>
    <mergeCell ref="J41:K41"/>
    <mergeCell ref="O41:P41"/>
    <mergeCell ref="O42:P4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" width="15.43"/>
    <col customWidth="1" min="4" max="4" width="19.29"/>
    <col customWidth="1" min="5" max="9" width="8.71"/>
    <col customWidth="1" min="10" max="10" width="36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39" t="s">
        <v>168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140" t="s">
        <v>168</v>
      </c>
      <c r="K6" s="10"/>
      <c r="L6" s="11" t="s">
        <v>3</v>
      </c>
      <c r="M6" s="6"/>
      <c r="O6" s="141" t="s">
        <v>168</v>
      </c>
      <c r="P6" s="10"/>
      <c r="Q6" s="95" t="s">
        <v>3</v>
      </c>
      <c r="R6" s="9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  <c r="O7" s="97" t="s">
        <v>5</v>
      </c>
      <c r="P7" s="15"/>
      <c r="Q7" s="16"/>
      <c r="R7" s="96"/>
    </row>
    <row r="8" ht="14.25" customHeight="1">
      <c r="A8" s="5"/>
      <c r="B8" s="17"/>
      <c r="C8" s="17" t="s">
        <v>6</v>
      </c>
      <c r="D8" s="142">
        <v>0.0</v>
      </c>
      <c r="E8" s="6"/>
      <c r="F8" s="6"/>
      <c r="G8" s="6"/>
      <c r="H8" s="6"/>
      <c r="I8" s="6"/>
      <c r="J8" s="143" t="s">
        <v>169</v>
      </c>
      <c r="K8" s="98"/>
      <c r="L8" s="144">
        <v>0.0</v>
      </c>
      <c r="M8" s="6"/>
      <c r="O8" s="99"/>
      <c r="P8" s="98"/>
      <c r="Q8" s="100">
        <v>0.0</v>
      </c>
      <c r="R8" s="9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22"/>
      <c r="L9" s="23"/>
      <c r="M9" s="6"/>
      <c r="O9" s="101"/>
      <c r="Q9" s="102"/>
      <c r="R9" s="96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22"/>
      <c r="L10" s="23"/>
      <c r="M10" s="6"/>
      <c r="O10" s="101"/>
      <c r="Q10" s="102"/>
      <c r="R10" s="96"/>
    </row>
    <row r="11" ht="14.25" customHeight="1">
      <c r="A11" s="5"/>
      <c r="B11" s="17"/>
      <c r="C11" s="18"/>
      <c r="D11" s="88">
        <v>40000.0</v>
      </c>
      <c r="E11" s="6"/>
      <c r="F11" s="6"/>
      <c r="G11" s="6"/>
      <c r="H11" s="6"/>
      <c r="I11" s="6"/>
      <c r="J11" s="103"/>
      <c r="K11" s="104"/>
      <c r="L11" s="23"/>
      <c r="M11" s="26">
        <f>SUM(L8:L11)</f>
        <v>0</v>
      </c>
      <c r="O11" s="105"/>
      <c r="P11" s="104"/>
      <c r="Q11" s="102"/>
      <c r="R11" s="106">
        <f>SUM(Q8:Q11)</f>
        <v>0</v>
      </c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8" t="s">
        <v>10</v>
      </c>
      <c r="K12" s="29"/>
      <c r="L12" s="30"/>
      <c r="M12" s="6"/>
      <c r="O12" s="107" t="s">
        <v>10</v>
      </c>
      <c r="P12" s="29"/>
      <c r="Q12" s="30"/>
      <c r="R12" s="96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43"/>
      <c r="K13" s="98"/>
      <c r="L13" s="144"/>
      <c r="M13" s="6"/>
      <c r="O13" s="145" t="s">
        <v>169</v>
      </c>
      <c r="P13" s="98"/>
      <c r="Q13" s="100"/>
      <c r="R13" s="96"/>
    </row>
    <row r="14" ht="14.25" customHeight="1">
      <c r="A14" s="5"/>
      <c r="B14" s="32" t="s">
        <v>11</v>
      </c>
      <c r="C14" s="33"/>
      <c r="D14" s="34">
        <f>SUM(D8:D13)</f>
        <v>140000</v>
      </c>
      <c r="E14" s="6"/>
      <c r="F14" s="6"/>
      <c r="G14" s="6"/>
      <c r="H14" s="6"/>
      <c r="I14" s="6"/>
      <c r="J14" s="132" t="s">
        <v>170</v>
      </c>
      <c r="L14" s="146">
        <v>50200.0</v>
      </c>
      <c r="M14" s="6"/>
      <c r="O14" s="101" t="s">
        <v>124</v>
      </c>
      <c r="Q14" s="102"/>
      <c r="R14" s="9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132" t="s">
        <v>171</v>
      </c>
      <c r="L15" s="23"/>
      <c r="M15" s="6"/>
      <c r="O15" s="101"/>
      <c r="Q15" s="102"/>
      <c r="R15" s="9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L16" s="23"/>
      <c r="M16" s="6"/>
      <c r="O16" s="101"/>
      <c r="Q16" s="102"/>
      <c r="R16" s="96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22"/>
      <c r="L17" s="23"/>
      <c r="M17" s="6"/>
      <c r="O17" s="101"/>
      <c r="Q17" s="102"/>
      <c r="R17" s="96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101"/>
      <c r="Q18" s="102"/>
      <c r="R18" s="96"/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23"/>
      <c r="M19" s="26">
        <f>SUM(L13:L18)</f>
        <v>50200</v>
      </c>
      <c r="O19" s="101"/>
      <c r="Q19" s="102"/>
      <c r="R19" s="106">
        <f>SUM(Q13:Q18)</f>
        <v>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108"/>
      <c r="P20" s="76"/>
      <c r="Q20" s="77"/>
      <c r="R20" s="109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110"/>
      <c r="P21" s="37"/>
      <c r="Q21" s="38"/>
      <c r="R21" s="109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111"/>
      <c r="P22" s="37"/>
      <c r="Q22" s="38"/>
      <c r="R22" s="112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147" t="s">
        <v>12</v>
      </c>
      <c r="K23" s="86"/>
      <c r="L23" s="55"/>
      <c r="M23" s="148">
        <f>M11+M19</f>
        <v>50200</v>
      </c>
      <c r="N23" s="78"/>
      <c r="O23" s="113" t="s">
        <v>12</v>
      </c>
      <c r="P23" s="37"/>
      <c r="Q23" s="38"/>
      <c r="R23" s="114">
        <f>R11+R19</f>
        <v>0</v>
      </c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49" t="s">
        <v>172</v>
      </c>
      <c r="K24" s="37"/>
      <c r="L24" s="38"/>
      <c r="M24" s="150">
        <v>528000.0</v>
      </c>
      <c r="O24" s="101"/>
      <c r="Q24" s="115"/>
      <c r="R24" s="96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51" t="s">
        <v>173</v>
      </c>
      <c r="K25" s="37"/>
      <c r="L25" s="38"/>
      <c r="M25" s="152"/>
      <c r="O25" s="101"/>
      <c r="Q25" s="116"/>
      <c r="R25" s="96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5" t="s">
        <v>174</v>
      </c>
      <c r="K26" s="46"/>
      <c r="L26" s="136">
        <v>6000.0</v>
      </c>
      <c r="M26" s="6"/>
      <c r="O26" s="101"/>
      <c r="Q26" s="116"/>
      <c r="R26" s="9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135" t="s">
        <v>175</v>
      </c>
      <c r="K27" s="46"/>
      <c r="L27" s="134">
        <v>2000.0</v>
      </c>
      <c r="M27" s="6"/>
      <c r="O27" s="101"/>
      <c r="Q27" s="116"/>
      <c r="R27" s="96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135" t="s">
        <v>176</v>
      </c>
      <c r="K28" s="46"/>
      <c r="L28" s="134">
        <v>2200.0</v>
      </c>
      <c r="M28" s="6"/>
      <c r="O28" s="117"/>
      <c r="P28" s="46"/>
      <c r="Q28" s="116"/>
      <c r="R28" s="96"/>
    </row>
    <row r="29" ht="14.25" customHeight="1">
      <c r="A29" s="6"/>
      <c r="B29" s="153" t="s">
        <v>168</v>
      </c>
      <c r="C29" s="8"/>
      <c r="D29" s="6"/>
      <c r="E29" s="6"/>
      <c r="F29" s="6"/>
      <c r="G29" s="6"/>
      <c r="H29" s="6"/>
      <c r="I29" s="6"/>
      <c r="J29" s="135" t="s">
        <v>177</v>
      </c>
      <c r="K29" s="46"/>
      <c r="L29" s="134">
        <v>5000.0</v>
      </c>
      <c r="M29" s="6"/>
      <c r="O29" s="117"/>
      <c r="P29" s="46"/>
      <c r="Q29" s="116"/>
      <c r="R29" s="96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135" t="s">
        <v>178</v>
      </c>
      <c r="K30" s="46"/>
      <c r="L30" s="134">
        <v>4000.0</v>
      </c>
      <c r="M30" s="6"/>
      <c r="O30" s="117"/>
      <c r="P30" s="46"/>
      <c r="Q30" s="116"/>
      <c r="R30" s="96"/>
    </row>
    <row r="31" ht="14.25" customHeight="1">
      <c r="A31" s="5"/>
      <c r="B31" s="25"/>
      <c r="C31" s="27" t="s">
        <v>3</v>
      </c>
      <c r="D31" s="154" t="s">
        <v>179</v>
      </c>
      <c r="E31" s="6"/>
      <c r="F31" s="6"/>
      <c r="G31" s="6"/>
      <c r="H31" s="6"/>
      <c r="I31" s="6"/>
      <c r="J31" s="135" t="s">
        <v>180</v>
      </c>
      <c r="K31" s="46"/>
      <c r="L31" s="134">
        <v>2000.0</v>
      </c>
      <c r="M31" s="6"/>
      <c r="O31" s="117"/>
      <c r="P31" s="46"/>
      <c r="Q31" s="116"/>
      <c r="R31" s="96"/>
    </row>
    <row r="32" ht="14.25" customHeight="1">
      <c r="A32" s="5"/>
      <c r="B32" s="24" t="s">
        <v>24</v>
      </c>
      <c r="C32" s="44">
        <v>41000.0</v>
      </c>
      <c r="D32" s="155" t="s">
        <v>25</v>
      </c>
      <c r="E32" s="6"/>
      <c r="F32" s="6"/>
      <c r="G32" s="6"/>
      <c r="H32" s="6"/>
      <c r="I32" s="6"/>
      <c r="J32" s="22"/>
      <c r="L32" s="41"/>
      <c r="M32" s="6"/>
      <c r="O32" s="101"/>
      <c r="Q32" s="116"/>
      <c r="R32" s="96"/>
    </row>
    <row r="33" ht="14.25" customHeight="1">
      <c r="A33" s="6"/>
      <c r="B33" s="44" t="s">
        <v>26</v>
      </c>
      <c r="C33" s="44">
        <v>4000.0</v>
      </c>
      <c r="D33" s="156" t="s">
        <v>25</v>
      </c>
      <c r="E33" s="6"/>
      <c r="F33" s="6"/>
      <c r="G33" s="6"/>
      <c r="H33" s="6"/>
      <c r="I33" s="6"/>
      <c r="J33" s="22"/>
      <c r="L33" s="41"/>
      <c r="M33" s="6"/>
      <c r="O33" s="101"/>
      <c r="Q33" s="116"/>
      <c r="R33" s="96"/>
    </row>
    <row r="34" ht="14.25" customHeight="1">
      <c r="A34" s="5"/>
      <c r="B34" s="44" t="s">
        <v>27</v>
      </c>
      <c r="C34" s="44">
        <v>1000.0</v>
      </c>
      <c r="D34" s="156" t="s">
        <v>25</v>
      </c>
      <c r="E34" s="6"/>
      <c r="F34" s="6"/>
      <c r="G34" s="6"/>
      <c r="H34" s="6"/>
      <c r="I34" s="6"/>
      <c r="J34" s="22"/>
      <c r="L34" s="41"/>
      <c r="M34" s="6"/>
      <c r="O34" s="101"/>
      <c r="Q34" s="116"/>
      <c r="R34" s="96"/>
    </row>
    <row r="35" ht="14.25" customHeight="1">
      <c r="A35" s="5"/>
      <c r="B35" s="44" t="s">
        <v>29</v>
      </c>
      <c r="C35" s="157">
        <v>60000.0</v>
      </c>
      <c r="D35" s="156" t="s">
        <v>25</v>
      </c>
      <c r="E35" s="6"/>
      <c r="F35" s="6"/>
      <c r="G35" s="6"/>
      <c r="H35" s="6"/>
      <c r="I35" s="6"/>
      <c r="J35" s="22"/>
      <c r="L35" s="41"/>
      <c r="M35" s="6"/>
      <c r="O35" s="101"/>
      <c r="Q35" s="116"/>
      <c r="R35" s="96"/>
    </row>
    <row r="36" ht="14.25" customHeight="1">
      <c r="A36" s="5"/>
      <c r="B36" s="44" t="s">
        <v>31</v>
      </c>
      <c r="C36" s="44">
        <v>5000.0</v>
      </c>
      <c r="D36" s="156" t="s">
        <v>25</v>
      </c>
      <c r="E36" s="6"/>
      <c r="F36" s="6"/>
      <c r="G36" s="6"/>
      <c r="H36" s="6"/>
      <c r="I36" s="6"/>
      <c r="J36" s="22"/>
      <c r="L36" s="41"/>
      <c r="M36" s="6"/>
      <c r="O36" s="101"/>
      <c r="Q36" s="116"/>
      <c r="R36" s="96"/>
    </row>
    <row r="37" ht="14.25" customHeight="1">
      <c r="A37" s="5"/>
      <c r="B37" s="44" t="s">
        <v>33</v>
      </c>
      <c r="C37" s="157">
        <v>5000.0</v>
      </c>
      <c r="D37" s="156" t="s">
        <v>25</v>
      </c>
      <c r="E37" s="6"/>
      <c r="F37" s="6"/>
      <c r="G37" s="6"/>
      <c r="H37" s="6"/>
      <c r="I37" s="6"/>
      <c r="J37" s="22"/>
      <c r="K37" s="46"/>
      <c r="L37" s="47"/>
      <c r="M37" s="6"/>
      <c r="O37" s="101"/>
      <c r="P37" s="46"/>
      <c r="Q37" s="118"/>
      <c r="R37" s="96"/>
    </row>
    <row r="38" ht="14.25" customHeight="1">
      <c r="A38" s="5"/>
      <c r="B38" s="157" t="s">
        <v>181</v>
      </c>
      <c r="C38" s="157">
        <v>8000.0</v>
      </c>
      <c r="D38" s="156" t="s">
        <v>25</v>
      </c>
      <c r="E38" s="6"/>
      <c r="F38" s="6"/>
      <c r="G38" s="6"/>
      <c r="H38" s="6"/>
      <c r="I38" s="6"/>
      <c r="J38" s="158" t="s">
        <v>182</v>
      </c>
      <c r="K38" s="38"/>
      <c r="L38" s="49">
        <f>SUM(L24:L36)</f>
        <v>21200</v>
      </c>
      <c r="M38" s="6"/>
      <c r="O38" s="159" t="s">
        <v>182</v>
      </c>
      <c r="P38" s="38"/>
      <c r="Q38" s="120">
        <f>SUM(Q24:Q36)</f>
        <v>0</v>
      </c>
      <c r="R38" s="96"/>
    </row>
    <row r="39" ht="14.25" customHeight="1">
      <c r="A39" s="5"/>
      <c r="B39" s="157" t="s">
        <v>183</v>
      </c>
      <c r="C39" s="157">
        <v>16000.0</v>
      </c>
      <c r="D39" s="156" t="s">
        <v>25</v>
      </c>
      <c r="E39" s="6"/>
      <c r="F39" s="6"/>
      <c r="G39" s="6"/>
      <c r="H39" s="6"/>
      <c r="I39" s="6"/>
      <c r="J39" s="135" t="s">
        <v>184</v>
      </c>
      <c r="L39" s="136">
        <v>1800.0</v>
      </c>
      <c r="M39" s="6"/>
      <c r="O39" s="117"/>
      <c r="Q39" s="121"/>
      <c r="R39" s="96"/>
    </row>
    <row r="40" ht="14.25" customHeight="1">
      <c r="A40" s="5"/>
      <c r="B40" s="18" t="s">
        <v>104</v>
      </c>
      <c r="C40" s="52">
        <v>0.0</v>
      </c>
      <c r="D40" s="156" t="s">
        <v>25</v>
      </c>
      <c r="E40" s="6"/>
      <c r="F40" s="6"/>
      <c r="G40" s="6"/>
      <c r="H40" s="6"/>
      <c r="I40" s="6"/>
      <c r="J40" s="50"/>
      <c r="L40" s="41"/>
      <c r="M40" s="6"/>
      <c r="O40" s="117"/>
      <c r="Q40" s="116"/>
      <c r="R40" s="96"/>
    </row>
    <row r="41" ht="14.25" customHeight="1">
      <c r="A41" s="5"/>
      <c r="B41" s="53" t="s">
        <v>11</v>
      </c>
      <c r="C41" s="160">
        <f>SUM(C32:C40)</f>
        <v>140000</v>
      </c>
      <c r="D41" s="55"/>
      <c r="E41" s="6"/>
      <c r="F41" s="6"/>
      <c r="G41" s="6"/>
      <c r="H41" s="6"/>
      <c r="I41" s="6"/>
      <c r="J41" s="50"/>
      <c r="L41" s="41"/>
      <c r="M41" s="6"/>
      <c r="O41" s="117"/>
      <c r="Q41" s="116"/>
      <c r="R41" s="96"/>
    </row>
    <row r="42" ht="14.25" customHeight="1">
      <c r="A42" s="5"/>
      <c r="B42" s="56"/>
      <c r="C42" s="57"/>
      <c r="D42" s="58"/>
      <c r="E42" s="6"/>
      <c r="F42" s="6"/>
      <c r="G42" s="6"/>
      <c r="H42" s="6"/>
      <c r="I42" s="6"/>
      <c r="J42" s="50"/>
      <c r="L42" s="41"/>
      <c r="M42" s="6"/>
      <c r="O42" s="117"/>
      <c r="Q42" s="116"/>
      <c r="R42" s="96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50"/>
      <c r="L43" s="41"/>
      <c r="M43" s="22"/>
      <c r="N43" s="6"/>
      <c r="O43" s="117"/>
      <c r="Q43" s="116"/>
      <c r="R43" s="101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50"/>
      <c r="L44" s="80"/>
      <c r="M44" s="22"/>
      <c r="N44" s="6"/>
      <c r="O44" s="117"/>
      <c r="Q44" s="122"/>
      <c r="R44" s="101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22"/>
      <c r="O45" s="117"/>
      <c r="Q45" s="116"/>
      <c r="R45" s="101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81"/>
      <c r="K46" s="46"/>
      <c r="L46" s="19"/>
      <c r="M46" s="22"/>
      <c r="O46" s="123"/>
      <c r="P46" s="46"/>
      <c r="Q46" s="99"/>
      <c r="R46" s="101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81"/>
      <c r="K47" s="46"/>
      <c r="L47" s="19"/>
      <c r="M47" s="22"/>
      <c r="O47" s="123"/>
      <c r="P47" s="46"/>
      <c r="Q47" s="99"/>
      <c r="R47" s="101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50"/>
      <c r="L48" s="47"/>
      <c r="M48" s="6"/>
      <c r="O48" s="117"/>
      <c r="Q48" s="118"/>
      <c r="R48" s="96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161" t="s">
        <v>185</v>
      </c>
      <c r="K49" s="60"/>
      <c r="L49" s="82">
        <f>SUM(L39:L48)</f>
        <v>1800</v>
      </c>
      <c r="M49" s="6"/>
      <c r="O49" s="162" t="s">
        <v>185</v>
      </c>
      <c r="P49" s="60"/>
      <c r="Q49" s="125">
        <f>SUM(Q39:Q48)</f>
        <v>0</v>
      </c>
      <c r="R49" s="96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163" t="s">
        <v>186</v>
      </c>
      <c r="K50" s="37"/>
      <c r="L50" s="38"/>
      <c r="M50" s="83">
        <f>L38+L49</f>
        <v>23000</v>
      </c>
      <c r="O50" s="164" t="s">
        <v>186</v>
      </c>
      <c r="P50" s="37"/>
      <c r="Q50" s="38"/>
      <c r="R50" s="112">
        <f>Q38+Q49</f>
        <v>0</v>
      </c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165" t="s">
        <v>187</v>
      </c>
      <c r="K51" s="37"/>
      <c r="L51" s="38"/>
      <c r="M51" s="166">
        <f>60000-M50</f>
        <v>37000</v>
      </c>
      <c r="O51" s="126" t="s">
        <v>39</v>
      </c>
      <c r="P51" s="37"/>
      <c r="Q51" s="38"/>
      <c r="R51" s="96">
        <f>R23-R50</f>
        <v>0</v>
      </c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167" t="s">
        <v>188</v>
      </c>
      <c r="K52" s="37"/>
      <c r="L52" s="84"/>
      <c r="M52" s="168">
        <f>M24+M51</f>
        <v>565000</v>
      </c>
      <c r="N52" s="78"/>
      <c r="O52" s="127" t="s">
        <v>40</v>
      </c>
      <c r="P52" s="37"/>
      <c r="Q52" s="84"/>
      <c r="R52" s="128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169" t="s">
        <v>189</v>
      </c>
      <c r="K53" s="37"/>
      <c r="L53" s="84"/>
      <c r="M53" s="170"/>
      <c r="N53" s="78"/>
      <c r="O53" s="127" t="s">
        <v>56</v>
      </c>
      <c r="P53" s="37"/>
      <c r="Q53" s="84"/>
      <c r="R53" s="128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171" t="s">
        <v>168</v>
      </c>
      <c r="J59" s="70"/>
      <c r="K59" s="44" t="s">
        <v>3</v>
      </c>
      <c r="L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71" t="s">
        <v>42</v>
      </c>
      <c r="J60" s="29"/>
      <c r="K60" s="72"/>
      <c r="L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17"/>
      <c r="J61" s="4"/>
      <c r="K61" s="13">
        <v>66000.0</v>
      </c>
      <c r="L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5"/>
      <c r="J62" s="6"/>
      <c r="K62" s="12">
        <v>25000.0</v>
      </c>
      <c r="L62" s="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5"/>
      <c r="J63" s="6"/>
      <c r="K63" s="12">
        <v>10000.0</v>
      </c>
      <c r="L63" s="6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5"/>
      <c r="J64" s="6"/>
      <c r="K64" s="172">
        <v>5000.0</v>
      </c>
      <c r="L64" s="6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5"/>
      <c r="J65" s="6"/>
      <c r="K65" s="12"/>
      <c r="L65" s="6"/>
    </row>
    <row r="66" ht="14.25" customHeight="1">
      <c r="I66" s="5"/>
      <c r="J66" s="6"/>
      <c r="K66" s="12"/>
      <c r="L66" s="91"/>
      <c r="M66" s="92"/>
    </row>
    <row r="67" ht="14.25" customHeight="1">
      <c r="I67" s="5"/>
      <c r="J67" s="6"/>
      <c r="K67" s="87"/>
      <c r="L67" s="91"/>
      <c r="M67" s="92"/>
    </row>
    <row r="68" ht="14.25" customHeight="1">
      <c r="I68" s="5"/>
      <c r="J68" s="6"/>
      <c r="K68" s="12"/>
    </row>
    <row r="69" ht="14.25" customHeight="1">
      <c r="I69" s="73" t="s">
        <v>43</v>
      </c>
      <c r="J69" s="38"/>
      <c r="K69" s="68">
        <f>SUM(K61:K66)-K67</f>
        <v>106000</v>
      </c>
      <c r="L69" s="6"/>
    </row>
    <row r="70" ht="14.25" customHeight="1">
      <c r="J70" s="6"/>
      <c r="K70" s="6"/>
      <c r="L70" s="6"/>
    </row>
    <row r="71" ht="14.25" customHeight="1">
      <c r="J71" s="6"/>
      <c r="K71" s="6"/>
      <c r="L71" s="6"/>
    </row>
    <row r="72" ht="14.25" customHeight="1">
      <c r="J72" s="6"/>
      <c r="K72" s="6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4"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  <mergeCell ref="O34:P34"/>
    <mergeCell ref="O35:P35"/>
    <mergeCell ref="O27:P27"/>
    <mergeCell ref="O28:P28"/>
    <mergeCell ref="O29:P29"/>
    <mergeCell ref="O30:P30"/>
    <mergeCell ref="O31:P31"/>
    <mergeCell ref="O32:P32"/>
    <mergeCell ref="O33:P33"/>
    <mergeCell ref="J38:K38"/>
    <mergeCell ref="J39:K39"/>
    <mergeCell ref="J40:K40"/>
    <mergeCell ref="J34:K34"/>
    <mergeCell ref="J35:K35"/>
    <mergeCell ref="J36:K36"/>
    <mergeCell ref="O36:P36"/>
    <mergeCell ref="J37:K37"/>
    <mergeCell ref="O37:P37"/>
    <mergeCell ref="O38:P38"/>
    <mergeCell ref="O45:P45"/>
    <mergeCell ref="O46:P46"/>
    <mergeCell ref="J42:K42"/>
    <mergeCell ref="J43:K43"/>
    <mergeCell ref="O43:P43"/>
    <mergeCell ref="J44:K44"/>
    <mergeCell ref="O44:P44"/>
    <mergeCell ref="J45:K45"/>
    <mergeCell ref="J46:K46"/>
    <mergeCell ref="J50:L50"/>
    <mergeCell ref="J51:L51"/>
    <mergeCell ref="J52:L52"/>
    <mergeCell ref="J53:L53"/>
    <mergeCell ref="I59:J59"/>
    <mergeCell ref="I60:K60"/>
    <mergeCell ref="I69:J69"/>
    <mergeCell ref="O51:Q51"/>
    <mergeCell ref="O52:Q52"/>
    <mergeCell ref="O53:Q53"/>
    <mergeCell ref="J47:K47"/>
    <mergeCell ref="O47:P47"/>
    <mergeCell ref="J48:K48"/>
    <mergeCell ref="O48:P48"/>
    <mergeCell ref="J49:K49"/>
    <mergeCell ref="O49:P49"/>
    <mergeCell ref="O50:Q50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J10:K10"/>
    <mergeCell ref="O10:P10"/>
    <mergeCell ref="D11:D13"/>
    <mergeCell ref="J11:K11"/>
    <mergeCell ref="O11:P11"/>
    <mergeCell ref="J12:L12"/>
    <mergeCell ref="B14:C14"/>
    <mergeCell ref="O14:P14"/>
    <mergeCell ref="J13:K13"/>
    <mergeCell ref="J14:K14"/>
    <mergeCell ref="J15:K15"/>
    <mergeCell ref="J16:K16"/>
    <mergeCell ref="J17:K17"/>
    <mergeCell ref="J18:K18"/>
    <mergeCell ref="J19:K19"/>
    <mergeCell ref="J20:L20"/>
    <mergeCell ref="J21:L21"/>
    <mergeCell ref="J22:L22"/>
    <mergeCell ref="J23:L23"/>
    <mergeCell ref="J24:L24"/>
    <mergeCell ref="J25:L25"/>
    <mergeCell ref="J26:K26"/>
    <mergeCell ref="J27:K27"/>
    <mergeCell ref="J28:K28"/>
    <mergeCell ref="J29:K29"/>
    <mergeCell ref="J30:K30"/>
    <mergeCell ref="J31:K31"/>
    <mergeCell ref="J32:K32"/>
    <mergeCell ref="J33:K33"/>
    <mergeCell ref="O39:P39"/>
    <mergeCell ref="O40:P40"/>
    <mergeCell ref="B41:B42"/>
    <mergeCell ref="C41:D42"/>
    <mergeCell ref="J41:K41"/>
    <mergeCell ref="O41:P41"/>
    <mergeCell ref="O42:P4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" width="15.43"/>
    <col customWidth="1" min="4" max="4" width="19.29"/>
    <col customWidth="1" min="5" max="9" width="8.71"/>
    <col customWidth="1" min="10" max="10" width="36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39" t="s">
        <v>190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140" t="s">
        <v>190</v>
      </c>
      <c r="K6" s="10"/>
      <c r="L6" s="11" t="s">
        <v>3</v>
      </c>
      <c r="M6" s="6"/>
      <c r="O6" s="141" t="s">
        <v>190</v>
      </c>
      <c r="P6" s="10"/>
      <c r="Q6" s="95" t="s">
        <v>3</v>
      </c>
      <c r="R6" s="9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  <c r="O7" s="97" t="s">
        <v>5</v>
      </c>
      <c r="P7" s="15"/>
      <c r="Q7" s="16"/>
      <c r="R7" s="96"/>
    </row>
    <row r="8" ht="14.25" customHeight="1">
      <c r="A8" s="5"/>
      <c r="B8" s="17"/>
      <c r="C8" s="17" t="s">
        <v>6</v>
      </c>
      <c r="D8" s="142">
        <v>0.0</v>
      </c>
      <c r="E8" s="6"/>
      <c r="F8" s="6"/>
      <c r="G8" s="6"/>
      <c r="H8" s="6"/>
      <c r="I8" s="6"/>
      <c r="J8" s="143" t="s">
        <v>191</v>
      </c>
      <c r="K8" s="98"/>
      <c r="L8" s="144">
        <v>0.0</v>
      </c>
      <c r="M8" s="6"/>
      <c r="O8" s="145" t="s">
        <v>191</v>
      </c>
      <c r="P8" s="98"/>
      <c r="Q8" s="100">
        <v>0.0</v>
      </c>
      <c r="R8" s="9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22"/>
      <c r="L9" s="23"/>
      <c r="M9" s="6"/>
      <c r="O9" s="101"/>
      <c r="Q9" s="102"/>
      <c r="R9" s="96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22"/>
      <c r="L10" s="23"/>
      <c r="M10" s="6"/>
      <c r="O10" s="101"/>
      <c r="Q10" s="102"/>
      <c r="R10" s="96"/>
    </row>
    <row r="11" ht="14.25" customHeight="1">
      <c r="A11" s="5"/>
      <c r="B11" s="17"/>
      <c r="C11" s="18"/>
      <c r="D11" s="88">
        <v>40000.0</v>
      </c>
      <c r="E11" s="6"/>
      <c r="F11" s="6"/>
      <c r="G11" s="6"/>
      <c r="H11" s="6"/>
      <c r="I11" s="6"/>
      <c r="J11" s="103"/>
      <c r="K11" s="104"/>
      <c r="L11" s="23"/>
      <c r="M11" s="26">
        <f>SUM(L8:L11)</f>
        <v>0</v>
      </c>
      <c r="O11" s="105"/>
      <c r="P11" s="104"/>
      <c r="Q11" s="102"/>
      <c r="R11" s="106">
        <f>SUM(Q8:Q11)</f>
        <v>0</v>
      </c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8" t="s">
        <v>10</v>
      </c>
      <c r="K12" s="29"/>
      <c r="L12" s="30"/>
      <c r="M12" s="6"/>
      <c r="O12" s="107" t="s">
        <v>10</v>
      </c>
      <c r="P12" s="29"/>
      <c r="Q12" s="30"/>
      <c r="R12" s="96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43" t="s">
        <v>192</v>
      </c>
      <c r="K13" s="98"/>
      <c r="L13" s="144">
        <v>20000.0</v>
      </c>
      <c r="M13" s="6"/>
      <c r="O13" s="145"/>
      <c r="P13" s="98"/>
      <c r="Q13" s="100"/>
      <c r="R13" s="96"/>
    </row>
    <row r="14" ht="14.25" customHeight="1">
      <c r="A14" s="5"/>
      <c r="B14" s="32" t="s">
        <v>11</v>
      </c>
      <c r="C14" s="33"/>
      <c r="D14" s="34">
        <f>SUM(D8:D13)</f>
        <v>140000</v>
      </c>
      <c r="E14" s="6"/>
      <c r="F14" s="6"/>
      <c r="G14" s="6"/>
      <c r="H14" s="6"/>
      <c r="I14" s="6"/>
      <c r="J14" s="132" t="s">
        <v>193</v>
      </c>
      <c r="L14" s="146"/>
      <c r="M14" s="6"/>
      <c r="O14" s="173" t="s">
        <v>194</v>
      </c>
      <c r="Q14" s="102"/>
      <c r="R14" s="9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132" t="s">
        <v>195</v>
      </c>
      <c r="L15" s="23">
        <f>17800+18200</f>
        <v>36000</v>
      </c>
      <c r="M15" s="6"/>
      <c r="O15" s="101"/>
      <c r="Q15" s="102"/>
      <c r="R15" s="9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L16" s="23"/>
      <c r="M16" s="6"/>
      <c r="O16" s="101"/>
      <c r="Q16" s="102"/>
      <c r="R16" s="96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22"/>
      <c r="L17" s="23"/>
      <c r="M17" s="6"/>
      <c r="O17" s="101"/>
      <c r="Q17" s="102"/>
      <c r="R17" s="96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101"/>
      <c r="Q18" s="102"/>
      <c r="R18" s="96"/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23"/>
      <c r="M19" s="26">
        <f>SUM(L13:L18)</f>
        <v>56000</v>
      </c>
      <c r="O19" s="101"/>
      <c r="Q19" s="102"/>
      <c r="R19" s="106">
        <f>SUM(Q13:Q18)</f>
        <v>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108"/>
      <c r="P20" s="76"/>
      <c r="Q20" s="77"/>
      <c r="R20" s="109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110"/>
      <c r="P21" s="37"/>
      <c r="Q21" s="38"/>
      <c r="R21" s="109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111"/>
      <c r="P22" s="37"/>
      <c r="Q22" s="38"/>
      <c r="R22" s="112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147" t="s">
        <v>12</v>
      </c>
      <c r="K23" s="86"/>
      <c r="L23" s="55"/>
      <c r="M23" s="148">
        <f>M11+M19</f>
        <v>56000</v>
      </c>
      <c r="N23" s="78"/>
      <c r="O23" s="113" t="s">
        <v>12</v>
      </c>
      <c r="P23" s="37"/>
      <c r="Q23" s="38"/>
      <c r="R23" s="114">
        <f>R11+R19</f>
        <v>0</v>
      </c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49" t="s">
        <v>172</v>
      </c>
      <c r="K24" s="37"/>
      <c r="L24" s="38"/>
      <c r="M24" s="150">
        <v>565000.0</v>
      </c>
      <c r="O24" s="101"/>
      <c r="Q24" s="115"/>
      <c r="R24" s="96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51" t="s">
        <v>173</v>
      </c>
      <c r="K25" s="37"/>
      <c r="L25" s="38"/>
      <c r="M25" s="152"/>
      <c r="O25" s="101"/>
      <c r="Q25" s="116"/>
      <c r="R25" s="96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5" t="s">
        <v>196</v>
      </c>
      <c r="L26" s="136">
        <v>3000.0</v>
      </c>
      <c r="M26" s="6"/>
      <c r="O26" s="101"/>
      <c r="Q26" s="116"/>
      <c r="R26" s="9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135" t="s">
        <v>197</v>
      </c>
      <c r="L27" s="134">
        <v>8000.0</v>
      </c>
      <c r="M27" s="6"/>
      <c r="O27" s="101"/>
      <c r="Q27" s="116"/>
      <c r="R27" s="96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135" t="s">
        <v>198</v>
      </c>
      <c r="L28" s="134">
        <v>1500.0</v>
      </c>
      <c r="M28" s="6"/>
      <c r="O28" s="117"/>
      <c r="P28" s="46"/>
      <c r="Q28" s="116"/>
      <c r="R28" s="96"/>
    </row>
    <row r="29" ht="14.25" customHeight="1">
      <c r="A29" s="6"/>
      <c r="B29" s="153" t="s">
        <v>190</v>
      </c>
      <c r="C29" s="8"/>
      <c r="D29" s="6"/>
      <c r="E29" s="6"/>
      <c r="F29" s="6"/>
      <c r="G29" s="6"/>
      <c r="H29" s="6"/>
      <c r="I29" s="6"/>
      <c r="J29" s="135" t="s">
        <v>199</v>
      </c>
      <c r="L29" s="134">
        <v>6000.0</v>
      </c>
      <c r="M29" s="6"/>
      <c r="O29" s="117"/>
      <c r="P29" s="46"/>
      <c r="Q29" s="116"/>
      <c r="R29" s="96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135" t="s">
        <v>200</v>
      </c>
      <c r="K30" s="46"/>
      <c r="L30" s="134">
        <v>4000.0</v>
      </c>
      <c r="M30" s="6"/>
      <c r="O30" s="117"/>
      <c r="P30" s="46"/>
      <c r="Q30" s="116"/>
      <c r="R30" s="96"/>
    </row>
    <row r="31" ht="14.25" customHeight="1">
      <c r="A31" s="5"/>
      <c r="B31" s="25"/>
      <c r="C31" s="27" t="s">
        <v>3</v>
      </c>
      <c r="D31" s="154" t="s">
        <v>201</v>
      </c>
      <c r="E31" s="6"/>
      <c r="F31" s="6"/>
      <c r="G31" s="6"/>
      <c r="H31" s="6"/>
      <c r="I31" s="6"/>
      <c r="J31" s="135"/>
      <c r="K31" s="46"/>
      <c r="L31" s="134"/>
      <c r="M31" s="6"/>
      <c r="O31" s="117"/>
      <c r="P31" s="46"/>
      <c r="Q31" s="116"/>
      <c r="R31" s="96"/>
    </row>
    <row r="32" ht="14.25" customHeight="1">
      <c r="A32" s="5"/>
      <c r="B32" s="24" t="s">
        <v>24</v>
      </c>
      <c r="C32" s="44">
        <v>41000.0</v>
      </c>
      <c r="D32" s="155" t="s">
        <v>25</v>
      </c>
      <c r="E32" s="6"/>
      <c r="F32" s="6"/>
      <c r="G32" s="6"/>
      <c r="H32" s="6"/>
      <c r="I32" s="6"/>
      <c r="J32" s="22"/>
      <c r="L32" s="41"/>
      <c r="M32" s="6"/>
      <c r="O32" s="101"/>
      <c r="Q32" s="116"/>
      <c r="R32" s="96"/>
    </row>
    <row r="33" ht="14.25" customHeight="1">
      <c r="A33" s="6"/>
      <c r="B33" s="44" t="s">
        <v>26</v>
      </c>
      <c r="C33" s="44">
        <v>4000.0</v>
      </c>
      <c r="D33" s="156" t="s">
        <v>25</v>
      </c>
      <c r="E33" s="6"/>
      <c r="F33" s="6"/>
      <c r="G33" s="6"/>
      <c r="H33" s="6"/>
      <c r="I33" s="6"/>
      <c r="J33" s="22"/>
      <c r="L33" s="41"/>
      <c r="M33" s="6"/>
      <c r="O33" s="101"/>
      <c r="Q33" s="116"/>
      <c r="R33" s="96"/>
    </row>
    <row r="34" ht="14.25" customHeight="1">
      <c r="A34" s="5"/>
      <c r="B34" s="44" t="s">
        <v>27</v>
      </c>
      <c r="C34" s="44">
        <v>1000.0</v>
      </c>
      <c r="D34" s="156" t="s">
        <v>25</v>
      </c>
      <c r="E34" s="6"/>
      <c r="F34" s="6"/>
      <c r="G34" s="6"/>
      <c r="H34" s="6"/>
      <c r="I34" s="6"/>
      <c r="J34" s="22"/>
      <c r="L34" s="41"/>
      <c r="M34" s="6"/>
      <c r="O34" s="101"/>
      <c r="Q34" s="116"/>
      <c r="R34" s="96"/>
    </row>
    <row r="35" ht="14.25" customHeight="1">
      <c r="A35" s="5"/>
      <c r="B35" s="44" t="s">
        <v>29</v>
      </c>
      <c r="C35" s="157">
        <v>60000.0</v>
      </c>
      <c r="D35" s="155" t="s">
        <v>25</v>
      </c>
      <c r="E35" s="6"/>
      <c r="F35" s="6"/>
      <c r="G35" s="6"/>
      <c r="H35" s="6"/>
      <c r="I35" s="6"/>
      <c r="J35" s="22"/>
      <c r="L35" s="41"/>
      <c r="M35" s="6"/>
      <c r="O35" s="101"/>
      <c r="Q35" s="116"/>
      <c r="R35" s="96"/>
    </row>
    <row r="36" ht="14.25" customHeight="1">
      <c r="A36" s="5"/>
      <c r="B36" s="44" t="s">
        <v>31</v>
      </c>
      <c r="C36" s="44">
        <v>5000.0</v>
      </c>
      <c r="D36" s="155" t="s">
        <v>25</v>
      </c>
      <c r="E36" s="6"/>
      <c r="F36" s="6"/>
      <c r="G36" s="6"/>
      <c r="H36" s="6"/>
      <c r="I36" s="6"/>
      <c r="J36" s="22"/>
      <c r="L36" s="41"/>
      <c r="M36" s="6"/>
      <c r="O36" s="101"/>
      <c r="Q36" s="116"/>
      <c r="R36" s="96"/>
    </row>
    <row r="37" ht="14.25" customHeight="1">
      <c r="A37" s="5"/>
      <c r="B37" s="44" t="s">
        <v>33</v>
      </c>
      <c r="C37" s="157">
        <v>5000.0</v>
      </c>
      <c r="D37" s="156" t="s">
        <v>25</v>
      </c>
      <c r="E37" s="6"/>
      <c r="F37" s="6"/>
      <c r="G37" s="6"/>
      <c r="H37" s="6"/>
      <c r="I37" s="6"/>
      <c r="J37" s="22"/>
      <c r="K37" s="46"/>
      <c r="L37" s="47"/>
      <c r="M37" s="6"/>
      <c r="O37" s="101"/>
      <c r="P37" s="46"/>
      <c r="Q37" s="118"/>
      <c r="R37" s="96"/>
    </row>
    <row r="38" ht="14.25" customHeight="1">
      <c r="A38" s="5"/>
      <c r="B38" s="157" t="s">
        <v>181</v>
      </c>
      <c r="C38" s="157">
        <v>8000.0</v>
      </c>
      <c r="D38" s="155" t="s">
        <v>25</v>
      </c>
      <c r="E38" s="6"/>
      <c r="F38" s="6"/>
      <c r="G38" s="6"/>
      <c r="H38" s="6"/>
      <c r="I38" s="6"/>
      <c r="J38" s="158" t="s">
        <v>202</v>
      </c>
      <c r="K38" s="38"/>
      <c r="L38" s="49">
        <f>SUM(L24:L36)</f>
        <v>22500</v>
      </c>
      <c r="M38" s="6"/>
      <c r="O38" s="159" t="s">
        <v>202</v>
      </c>
      <c r="P38" s="38"/>
      <c r="Q38" s="120">
        <f>SUM(Q24:Q36)</f>
        <v>0</v>
      </c>
      <c r="R38" s="96"/>
    </row>
    <row r="39" ht="14.25" customHeight="1">
      <c r="A39" s="5"/>
      <c r="B39" s="157" t="s">
        <v>183</v>
      </c>
      <c r="C39" s="157">
        <v>16000.0</v>
      </c>
      <c r="D39" s="155" t="s">
        <v>25</v>
      </c>
      <c r="E39" s="6"/>
      <c r="F39" s="6"/>
      <c r="G39" s="6"/>
      <c r="H39" s="6"/>
      <c r="I39" s="6"/>
      <c r="J39" s="135" t="s">
        <v>203</v>
      </c>
      <c r="L39" s="136">
        <v>1800.0</v>
      </c>
      <c r="M39" s="6"/>
      <c r="O39" s="117"/>
      <c r="Q39" s="121"/>
      <c r="R39" s="96"/>
    </row>
    <row r="40" ht="14.25" customHeight="1">
      <c r="A40" s="5"/>
      <c r="B40" s="18" t="s">
        <v>104</v>
      </c>
      <c r="C40" s="52">
        <v>0.0</v>
      </c>
      <c r="D40" s="156" t="s">
        <v>25</v>
      </c>
      <c r="E40" s="6"/>
      <c r="F40" s="6"/>
      <c r="G40" s="6"/>
      <c r="H40" s="6"/>
      <c r="I40" s="6"/>
      <c r="J40" s="135"/>
      <c r="L40" s="134"/>
      <c r="M40" s="6"/>
      <c r="O40" s="117"/>
      <c r="Q40" s="116"/>
      <c r="R40" s="96"/>
    </row>
    <row r="41" ht="14.25" customHeight="1">
      <c r="A41" s="5"/>
      <c r="B41" s="53" t="s">
        <v>11</v>
      </c>
      <c r="C41" s="160">
        <f>SUM(C32:C40)</f>
        <v>140000</v>
      </c>
      <c r="D41" s="55"/>
      <c r="E41" s="6"/>
      <c r="F41" s="6"/>
      <c r="G41" s="6"/>
      <c r="H41" s="6"/>
      <c r="I41" s="6"/>
      <c r="J41" s="135"/>
      <c r="L41" s="134"/>
      <c r="M41" s="6"/>
      <c r="O41" s="117"/>
      <c r="Q41" s="116"/>
      <c r="R41" s="96"/>
    </row>
    <row r="42" ht="14.25" customHeight="1">
      <c r="A42" s="5"/>
      <c r="B42" s="56"/>
      <c r="C42" s="57"/>
      <c r="D42" s="58"/>
      <c r="E42" s="6"/>
      <c r="F42" s="6"/>
      <c r="G42" s="6"/>
      <c r="H42" s="6"/>
      <c r="I42" s="6"/>
      <c r="J42" s="135"/>
      <c r="L42" s="134"/>
      <c r="M42" s="6"/>
      <c r="O42" s="117"/>
      <c r="Q42" s="116"/>
      <c r="R42" s="96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50"/>
      <c r="L43" s="41"/>
      <c r="M43" s="22"/>
      <c r="N43" s="6"/>
      <c r="O43" s="117"/>
      <c r="Q43" s="116"/>
      <c r="R43" s="101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50"/>
      <c r="L44" s="80"/>
      <c r="M44" s="22"/>
      <c r="N44" s="6"/>
      <c r="O44" s="117"/>
      <c r="Q44" s="122"/>
      <c r="R44" s="101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22"/>
      <c r="O45" s="117"/>
      <c r="Q45" s="116"/>
      <c r="R45" s="101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81"/>
      <c r="K46" s="46"/>
      <c r="L46" s="19"/>
      <c r="M46" s="22"/>
      <c r="O46" s="123"/>
      <c r="P46" s="46"/>
      <c r="Q46" s="99"/>
      <c r="R46" s="101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81"/>
      <c r="K47" s="46"/>
      <c r="L47" s="19"/>
      <c r="M47" s="22"/>
      <c r="O47" s="123"/>
      <c r="P47" s="46"/>
      <c r="Q47" s="99"/>
      <c r="R47" s="101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50"/>
      <c r="L48" s="47"/>
      <c r="M48" s="6"/>
      <c r="O48" s="117"/>
      <c r="Q48" s="118"/>
      <c r="R48" s="96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161" t="s">
        <v>204</v>
      </c>
      <c r="K49" s="60"/>
      <c r="L49" s="82">
        <f>SUM(L39:L48)</f>
        <v>1800</v>
      </c>
      <c r="M49" s="6"/>
      <c r="O49" s="162" t="s">
        <v>204</v>
      </c>
      <c r="P49" s="60"/>
      <c r="Q49" s="125">
        <f>SUM(Q39:Q48)</f>
        <v>0</v>
      </c>
      <c r="R49" s="96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163" t="s">
        <v>205</v>
      </c>
      <c r="K50" s="37"/>
      <c r="L50" s="38"/>
      <c r="M50" s="83">
        <f>L38+L49</f>
        <v>24300</v>
      </c>
      <c r="O50" s="164" t="s">
        <v>205</v>
      </c>
      <c r="P50" s="37"/>
      <c r="Q50" s="38"/>
      <c r="R50" s="112">
        <f>Q38+Q49</f>
        <v>0</v>
      </c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165" t="s">
        <v>206</v>
      </c>
      <c r="K51" s="37"/>
      <c r="L51" s="38"/>
      <c r="M51" s="174">
        <v>56000.0</v>
      </c>
      <c r="O51" s="126" t="s">
        <v>39</v>
      </c>
      <c r="P51" s="37"/>
      <c r="Q51" s="38"/>
      <c r="R51" s="96">
        <f>R23-R50</f>
        <v>0</v>
      </c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167" t="s">
        <v>207</v>
      </c>
      <c r="K52" s="37"/>
      <c r="L52" s="84"/>
      <c r="M52" s="168">
        <f>M24</f>
        <v>565000</v>
      </c>
      <c r="N52" s="78"/>
      <c r="O52" s="127" t="s">
        <v>40</v>
      </c>
      <c r="P52" s="37"/>
      <c r="Q52" s="84"/>
      <c r="R52" s="128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169" t="s">
        <v>208</v>
      </c>
      <c r="K53" s="37"/>
      <c r="L53" s="84"/>
      <c r="M53" s="170"/>
      <c r="N53" s="78"/>
      <c r="O53" s="127" t="s">
        <v>56</v>
      </c>
      <c r="P53" s="37"/>
      <c r="Q53" s="84"/>
      <c r="R53" s="128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171" t="s">
        <v>190</v>
      </c>
      <c r="J59" s="70"/>
      <c r="K59" s="44" t="s">
        <v>3</v>
      </c>
      <c r="L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71" t="s">
        <v>42</v>
      </c>
      <c r="J60" s="29"/>
      <c r="K60" s="72"/>
      <c r="L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17"/>
      <c r="J61" s="4"/>
      <c r="K61" s="13">
        <v>66000.0</v>
      </c>
      <c r="L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5"/>
      <c r="J62" s="6"/>
      <c r="K62" s="12">
        <v>25000.0</v>
      </c>
      <c r="L62" s="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5"/>
      <c r="J63" s="6"/>
      <c r="K63" s="12">
        <v>10000.0</v>
      </c>
      <c r="L63" s="6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5"/>
      <c r="J64" s="6"/>
      <c r="K64" s="172">
        <v>5000.0</v>
      </c>
      <c r="L64" s="6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5"/>
      <c r="J65" s="6"/>
      <c r="K65" s="172">
        <v>5000.0</v>
      </c>
      <c r="L65" s="6"/>
    </row>
    <row r="66" ht="14.25" customHeight="1">
      <c r="I66" s="5"/>
      <c r="J66" s="6"/>
      <c r="K66" s="12"/>
      <c r="L66" s="91"/>
      <c r="M66" s="92"/>
    </row>
    <row r="67" ht="14.25" customHeight="1">
      <c r="I67" s="5"/>
      <c r="J67" s="6"/>
      <c r="K67" s="87"/>
      <c r="L67" s="91"/>
      <c r="M67" s="92"/>
    </row>
    <row r="68" ht="14.25" customHeight="1">
      <c r="I68" s="5"/>
      <c r="J68" s="6"/>
      <c r="K68" s="12"/>
    </row>
    <row r="69" ht="14.25" customHeight="1">
      <c r="I69" s="73" t="s">
        <v>43</v>
      </c>
      <c r="J69" s="38"/>
      <c r="K69" s="68">
        <f>SUM(K61:K66)-K67</f>
        <v>111000</v>
      </c>
      <c r="L69" s="6"/>
    </row>
    <row r="70" ht="14.25" customHeight="1">
      <c r="J70" s="6"/>
      <c r="K70" s="6"/>
      <c r="L70" s="6"/>
    </row>
    <row r="71" ht="14.25" customHeight="1">
      <c r="J71" s="6"/>
      <c r="K71" s="6"/>
      <c r="L71" s="6"/>
    </row>
    <row r="72" ht="14.25" customHeight="1">
      <c r="J72" s="6"/>
      <c r="K72" s="6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4"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  <mergeCell ref="O34:P34"/>
    <mergeCell ref="O35:P35"/>
    <mergeCell ref="O27:P27"/>
    <mergeCell ref="O28:P28"/>
    <mergeCell ref="O29:P29"/>
    <mergeCell ref="O30:P30"/>
    <mergeCell ref="O31:P31"/>
    <mergeCell ref="O32:P32"/>
    <mergeCell ref="O33:P33"/>
    <mergeCell ref="J38:K38"/>
    <mergeCell ref="J39:K39"/>
    <mergeCell ref="J40:K40"/>
    <mergeCell ref="J34:K34"/>
    <mergeCell ref="J35:K35"/>
    <mergeCell ref="J36:K36"/>
    <mergeCell ref="O36:P36"/>
    <mergeCell ref="J37:K37"/>
    <mergeCell ref="O37:P37"/>
    <mergeCell ref="O38:P38"/>
    <mergeCell ref="O45:P45"/>
    <mergeCell ref="O46:P46"/>
    <mergeCell ref="J42:K42"/>
    <mergeCell ref="J43:K43"/>
    <mergeCell ref="O43:P43"/>
    <mergeCell ref="J44:K44"/>
    <mergeCell ref="O44:P44"/>
    <mergeCell ref="J45:K45"/>
    <mergeCell ref="J46:K46"/>
    <mergeCell ref="J50:L50"/>
    <mergeCell ref="J51:L51"/>
    <mergeCell ref="J52:L52"/>
    <mergeCell ref="J53:L53"/>
    <mergeCell ref="I59:J59"/>
    <mergeCell ref="I60:K60"/>
    <mergeCell ref="I69:J69"/>
    <mergeCell ref="O51:Q51"/>
    <mergeCell ref="O52:Q52"/>
    <mergeCell ref="O53:Q53"/>
    <mergeCell ref="J47:K47"/>
    <mergeCell ref="O47:P47"/>
    <mergeCell ref="J48:K48"/>
    <mergeCell ref="O48:P48"/>
    <mergeCell ref="J49:K49"/>
    <mergeCell ref="O49:P49"/>
    <mergeCell ref="O50:Q50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J10:K10"/>
    <mergeCell ref="O10:P10"/>
    <mergeCell ref="D11:D13"/>
    <mergeCell ref="J11:K11"/>
    <mergeCell ref="O11:P11"/>
    <mergeCell ref="J12:L12"/>
    <mergeCell ref="B14:C14"/>
    <mergeCell ref="O14:P14"/>
    <mergeCell ref="J13:K13"/>
    <mergeCell ref="J14:K14"/>
    <mergeCell ref="J15:K15"/>
    <mergeCell ref="J16:K16"/>
    <mergeCell ref="J17:K17"/>
    <mergeCell ref="J18:K18"/>
    <mergeCell ref="J19:K19"/>
    <mergeCell ref="J20:L20"/>
    <mergeCell ref="J21:L21"/>
    <mergeCell ref="J22:L22"/>
    <mergeCell ref="J23:L23"/>
    <mergeCell ref="J24:L24"/>
    <mergeCell ref="J25:L25"/>
    <mergeCell ref="J26:K26"/>
    <mergeCell ref="J27:K27"/>
    <mergeCell ref="J28:K28"/>
    <mergeCell ref="J29:K29"/>
    <mergeCell ref="J30:K30"/>
    <mergeCell ref="J31:K31"/>
    <mergeCell ref="J32:K32"/>
    <mergeCell ref="J33:K33"/>
    <mergeCell ref="O39:P39"/>
    <mergeCell ref="O40:P40"/>
    <mergeCell ref="B41:B42"/>
    <mergeCell ref="C41:D42"/>
    <mergeCell ref="J41:K41"/>
    <mergeCell ref="O41:P41"/>
    <mergeCell ref="O42:P4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" width="15.43"/>
    <col customWidth="1" min="4" max="4" width="19.29"/>
    <col customWidth="1" min="5" max="9" width="8.71"/>
    <col customWidth="1" min="10" max="10" width="36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39" t="s">
        <v>209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140" t="s">
        <v>209</v>
      </c>
      <c r="K6" s="10"/>
      <c r="L6" s="11" t="s">
        <v>3</v>
      </c>
      <c r="M6" s="6"/>
      <c r="O6" s="141" t="s">
        <v>209</v>
      </c>
      <c r="P6" s="10"/>
      <c r="Q6" s="95" t="s">
        <v>3</v>
      </c>
      <c r="R6" s="9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  <c r="O7" s="97" t="s">
        <v>5</v>
      </c>
      <c r="P7" s="15"/>
      <c r="Q7" s="16"/>
      <c r="R7" s="96"/>
    </row>
    <row r="8" ht="14.25" customHeight="1">
      <c r="A8" s="5"/>
      <c r="B8" s="17"/>
      <c r="C8" s="17" t="s">
        <v>6</v>
      </c>
      <c r="D8" s="142">
        <v>0.0</v>
      </c>
      <c r="E8" s="6"/>
      <c r="F8" s="6"/>
      <c r="G8" s="6"/>
      <c r="H8" s="6"/>
      <c r="I8" s="6"/>
      <c r="J8" s="143" t="s">
        <v>210</v>
      </c>
      <c r="K8" s="98"/>
      <c r="L8" s="144">
        <v>56000.0</v>
      </c>
      <c r="M8" s="6"/>
      <c r="O8" s="145" t="s">
        <v>210</v>
      </c>
      <c r="P8" s="98"/>
      <c r="Q8" s="100">
        <v>0.0</v>
      </c>
      <c r="R8" s="9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22"/>
      <c r="L9" s="23"/>
      <c r="M9" s="6"/>
      <c r="O9" s="101"/>
      <c r="Q9" s="102"/>
      <c r="R9" s="96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22"/>
      <c r="L10" s="23"/>
      <c r="M10" s="6"/>
      <c r="O10" s="101"/>
      <c r="Q10" s="102"/>
      <c r="R10" s="96"/>
    </row>
    <row r="11" ht="14.25" customHeight="1">
      <c r="A11" s="5"/>
      <c r="B11" s="17"/>
      <c r="C11" s="18"/>
      <c r="D11" s="88">
        <v>40000.0</v>
      </c>
      <c r="E11" s="6"/>
      <c r="F11" s="6"/>
      <c r="G11" s="6"/>
      <c r="H11" s="6"/>
      <c r="I11" s="6"/>
      <c r="J11" s="103"/>
      <c r="K11" s="104"/>
      <c r="L11" s="23"/>
      <c r="M11" s="26">
        <f>SUM(L8:L11)</f>
        <v>56000</v>
      </c>
      <c r="O11" s="105"/>
      <c r="P11" s="104"/>
      <c r="Q11" s="102"/>
      <c r="R11" s="106">
        <f>SUM(Q8:Q11)</f>
        <v>0</v>
      </c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8" t="s">
        <v>10</v>
      </c>
      <c r="K12" s="29"/>
      <c r="L12" s="30"/>
      <c r="M12" s="6"/>
      <c r="O12" s="107" t="s">
        <v>10</v>
      </c>
      <c r="P12" s="29"/>
      <c r="Q12" s="30"/>
      <c r="R12" s="96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43"/>
      <c r="K13" s="98"/>
      <c r="L13" s="144"/>
      <c r="M13" s="6"/>
      <c r="O13" s="145"/>
      <c r="P13" s="98"/>
      <c r="Q13" s="100"/>
      <c r="R13" s="96"/>
    </row>
    <row r="14" ht="14.25" customHeight="1">
      <c r="A14" s="5"/>
      <c r="B14" s="32" t="s">
        <v>11</v>
      </c>
      <c r="C14" s="33"/>
      <c r="D14" s="34">
        <f>SUM(D8:D13)</f>
        <v>140000</v>
      </c>
      <c r="E14" s="6"/>
      <c r="F14" s="6"/>
      <c r="G14" s="6"/>
      <c r="H14" s="6"/>
      <c r="I14" s="6"/>
      <c r="J14" s="132" t="s">
        <v>211</v>
      </c>
      <c r="L14" s="146">
        <v>60000.0</v>
      </c>
      <c r="M14" s="6"/>
      <c r="O14" s="173" t="s">
        <v>212</v>
      </c>
      <c r="Q14" s="102"/>
      <c r="R14" s="9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132" t="s">
        <v>213</v>
      </c>
      <c r="L15" s="23"/>
      <c r="M15" s="6"/>
      <c r="O15" s="101"/>
      <c r="Q15" s="102"/>
      <c r="R15" s="9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L16" s="23"/>
      <c r="M16" s="6"/>
      <c r="O16" s="101"/>
      <c r="Q16" s="102"/>
      <c r="R16" s="96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22"/>
      <c r="L17" s="23"/>
      <c r="M17" s="6"/>
      <c r="O17" s="101"/>
      <c r="Q17" s="102"/>
      <c r="R17" s="96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101"/>
      <c r="Q18" s="102"/>
      <c r="R18" s="96"/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23"/>
      <c r="M19" s="26">
        <f>SUM(L13:L18)</f>
        <v>60000</v>
      </c>
      <c r="O19" s="101"/>
      <c r="Q19" s="102"/>
      <c r="R19" s="106">
        <f>SUM(Q13:Q18)</f>
        <v>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108"/>
      <c r="P20" s="76"/>
      <c r="Q20" s="77"/>
      <c r="R20" s="109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110"/>
      <c r="P21" s="37"/>
      <c r="Q21" s="38"/>
      <c r="R21" s="109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111"/>
      <c r="P22" s="37"/>
      <c r="Q22" s="38"/>
      <c r="R22" s="112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147" t="s">
        <v>12</v>
      </c>
      <c r="K23" s="86"/>
      <c r="L23" s="55"/>
      <c r="M23" s="148">
        <f>M11+M19</f>
        <v>116000</v>
      </c>
      <c r="N23" s="78"/>
      <c r="O23" s="113" t="s">
        <v>12</v>
      </c>
      <c r="P23" s="37"/>
      <c r="Q23" s="38"/>
      <c r="R23" s="114">
        <f>R11+R19</f>
        <v>0</v>
      </c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49" t="s">
        <v>172</v>
      </c>
      <c r="K24" s="37"/>
      <c r="L24" s="38"/>
      <c r="M24" s="150"/>
      <c r="O24" s="101"/>
      <c r="Q24" s="115"/>
      <c r="R24" s="96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51" t="s">
        <v>173</v>
      </c>
      <c r="K25" s="37"/>
      <c r="L25" s="38"/>
      <c r="M25" s="152"/>
      <c r="O25" s="101"/>
      <c r="Q25" s="116"/>
      <c r="R25" s="96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5" t="s">
        <v>214</v>
      </c>
      <c r="L26" s="136">
        <v>3000.0</v>
      </c>
      <c r="M26" s="6"/>
      <c r="O26" s="101"/>
      <c r="Q26" s="116"/>
      <c r="R26" s="9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135" t="s">
        <v>215</v>
      </c>
      <c r="L27" s="134">
        <v>15700.0</v>
      </c>
      <c r="M27" s="6"/>
      <c r="O27" s="101"/>
      <c r="Q27" s="116"/>
      <c r="R27" s="96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135" t="s">
        <v>216</v>
      </c>
      <c r="L28" s="134">
        <v>5000.0</v>
      </c>
      <c r="M28" s="6"/>
      <c r="O28" s="117"/>
      <c r="P28" s="46"/>
      <c r="Q28" s="116"/>
      <c r="R28" s="96"/>
    </row>
    <row r="29" ht="14.25" customHeight="1">
      <c r="A29" s="6"/>
      <c r="B29" s="153" t="s">
        <v>209</v>
      </c>
      <c r="C29" s="8"/>
      <c r="D29" s="6"/>
      <c r="E29" s="6"/>
      <c r="F29" s="6"/>
      <c r="G29" s="6"/>
      <c r="H29" s="6"/>
      <c r="I29" s="6"/>
      <c r="J29" s="135" t="s">
        <v>217</v>
      </c>
      <c r="L29" s="134">
        <v>50000.0</v>
      </c>
      <c r="M29" s="6"/>
      <c r="O29" s="117"/>
      <c r="P29" s="46"/>
      <c r="Q29" s="116"/>
      <c r="R29" s="96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135"/>
      <c r="K30" s="46"/>
      <c r="L30" s="134"/>
      <c r="M30" s="6"/>
      <c r="O30" s="117"/>
      <c r="P30" s="46"/>
      <c r="Q30" s="116"/>
      <c r="R30" s="96"/>
    </row>
    <row r="31" ht="14.25" customHeight="1">
      <c r="A31" s="5"/>
      <c r="B31" s="25"/>
      <c r="C31" s="27" t="s">
        <v>3</v>
      </c>
      <c r="D31" s="154" t="s">
        <v>218</v>
      </c>
      <c r="E31" s="6"/>
      <c r="F31" s="6"/>
      <c r="G31" s="6"/>
      <c r="H31" s="6"/>
      <c r="I31" s="6"/>
      <c r="J31" s="135"/>
      <c r="K31" s="46"/>
      <c r="L31" s="134"/>
      <c r="M31" s="6"/>
      <c r="O31" s="117"/>
      <c r="P31" s="46"/>
      <c r="Q31" s="116"/>
      <c r="R31" s="96"/>
    </row>
    <row r="32" ht="14.25" customHeight="1">
      <c r="A32" s="5"/>
      <c r="B32" s="24" t="s">
        <v>24</v>
      </c>
      <c r="C32" s="44">
        <v>41000.0</v>
      </c>
      <c r="D32" s="155" t="s">
        <v>25</v>
      </c>
      <c r="E32" s="6"/>
      <c r="F32" s="6"/>
      <c r="G32" s="6"/>
      <c r="H32" s="6"/>
      <c r="I32" s="6"/>
      <c r="J32" s="22"/>
      <c r="L32" s="41"/>
      <c r="M32" s="6"/>
      <c r="O32" s="101"/>
      <c r="Q32" s="116"/>
      <c r="R32" s="96"/>
    </row>
    <row r="33" ht="14.25" customHeight="1">
      <c r="A33" s="6"/>
      <c r="B33" s="44" t="s">
        <v>26</v>
      </c>
      <c r="C33" s="44">
        <v>4000.0</v>
      </c>
      <c r="D33" s="155" t="s">
        <v>25</v>
      </c>
      <c r="E33" s="6"/>
      <c r="F33" s="6"/>
      <c r="G33" s="6"/>
      <c r="H33" s="6"/>
      <c r="I33" s="6"/>
      <c r="J33" s="22"/>
      <c r="L33" s="41"/>
      <c r="M33" s="6"/>
      <c r="O33" s="101"/>
      <c r="Q33" s="116"/>
      <c r="R33" s="96"/>
    </row>
    <row r="34" ht="14.25" customHeight="1">
      <c r="A34" s="5"/>
      <c r="B34" s="44" t="s">
        <v>27</v>
      </c>
      <c r="C34" s="44">
        <v>1000.0</v>
      </c>
      <c r="D34" s="155" t="s">
        <v>25</v>
      </c>
      <c r="E34" s="6"/>
      <c r="F34" s="6"/>
      <c r="G34" s="6"/>
      <c r="H34" s="6"/>
      <c r="I34" s="6"/>
      <c r="J34" s="22"/>
      <c r="L34" s="41"/>
      <c r="M34" s="6"/>
      <c r="O34" s="101"/>
      <c r="Q34" s="116"/>
      <c r="R34" s="96"/>
    </row>
    <row r="35" ht="14.25" customHeight="1">
      <c r="A35" s="5"/>
      <c r="B35" s="44" t="s">
        <v>29</v>
      </c>
      <c r="C35" s="157">
        <v>60000.0</v>
      </c>
      <c r="D35" s="156" t="s">
        <v>101</v>
      </c>
      <c r="E35" s="6"/>
      <c r="F35" s="6"/>
      <c r="G35" s="6"/>
      <c r="H35" s="6"/>
      <c r="I35" s="6"/>
      <c r="J35" s="22"/>
      <c r="L35" s="41"/>
      <c r="M35" s="6"/>
      <c r="O35" s="101"/>
      <c r="Q35" s="116"/>
      <c r="R35" s="96"/>
    </row>
    <row r="36" ht="14.25" customHeight="1">
      <c r="A36" s="5"/>
      <c r="B36" s="44" t="s">
        <v>31</v>
      </c>
      <c r="C36" s="44">
        <v>5000.0</v>
      </c>
      <c r="D36" s="155" t="s">
        <v>25</v>
      </c>
      <c r="E36" s="6"/>
      <c r="F36" s="6"/>
      <c r="G36" s="6"/>
      <c r="H36" s="6"/>
      <c r="I36" s="6"/>
      <c r="J36" s="22"/>
      <c r="L36" s="41"/>
      <c r="M36" s="6"/>
      <c r="O36" s="101"/>
      <c r="Q36" s="116"/>
      <c r="R36" s="96"/>
    </row>
    <row r="37" ht="14.25" customHeight="1">
      <c r="A37" s="5"/>
      <c r="B37" s="44" t="s">
        <v>33</v>
      </c>
      <c r="C37" s="157">
        <v>5000.0</v>
      </c>
      <c r="D37" s="155" t="s">
        <v>25</v>
      </c>
      <c r="E37" s="6"/>
      <c r="F37" s="6"/>
      <c r="G37" s="6"/>
      <c r="H37" s="6"/>
      <c r="I37" s="6"/>
      <c r="J37" s="22"/>
      <c r="K37" s="46"/>
      <c r="L37" s="47"/>
      <c r="M37" s="6"/>
      <c r="O37" s="101"/>
      <c r="P37" s="46"/>
      <c r="Q37" s="118"/>
      <c r="R37" s="96"/>
    </row>
    <row r="38" ht="14.25" customHeight="1">
      <c r="A38" s="5"/>
      <c r="B38" s="157" t="s">
        <v>181</v>
      </c>
      <c r="C38" s="157">
        <v>8000.0</v>
      </c>
      <c r="D38" s="155" t="s">
        <v>25</v>
      </c>
      <c r="E38" s="6"/>
      <c r="F38" s="6"/>
      <c r="G38" s="6"/>
      <c r="H38" s="6"/>
      <c r="I38" s="6"/>
      <c r="J38" s="158" t="s">
        <v>219</v>
      </c>
      <c r="K38" s="38"/>
      <c r="L38" s="49">
        <f>SUM(L24:L36)</f>
        <v>73700</v>
      </c>
      <c r="M38" s="6"/>
      <c r="O38" s="159" t="s">
        <v>219</v>
      </c>
      <c r="P38" s="38"/>
      <c r="Q38" s="120">
        <f>SUM(Q24:Q36)</f>
        <v>0</v>
      </c>
      <c r="R38" s="96"/>
    </row>
    <row r="39" ht="14.25" customHeight="1">
      <c r="A39" s="5"/>
      <c r="B39" s="157" t="s">
        <v>183</v>
      </c>
      <c r="C39" s="157">
        <v>16000.0</v>
      </c>
      <c r="D39" s="155" t="s">
        <v>25</v>
      </c>
      <c r="E39" s="6"/>
      <c r="F39" s="6"/>
      <c r="G39" s="6"/>
      <c r="H39" s="6"/>
      <c r="I39" s="6"/>
      <c r="J39" s="135" t="s">
        <v>220</v>
      </c>
      <c r="L39" s="136">
        <v>8000.0</v>
      </c>
      <c r="M39" s="6"/>
      <c r="O39" s="117"/>
      <c r="Q39" s="121"/>
      <c r="R39" s="96"/>
    </row>
    <row r="40" ht="14.25" customHeight="1">
      <c r="A40" s="5"/>
      <c r="B40" s="18" t="s">
        <v>104</v>
      </c>
      <c r="C40" s="52">
        <v>0.0</v>
      </c>
      <c r="D40" s="155" t="s">
        <v>25</v>
      </c>
      <c r="E40" s="6"/>
      <c r="F40" s="6"/>
      <c r="G40" s="6"/>
      <c r="H40" s="6"/>
      <c r="I40" s="6"/>
      <c r="J40" s="135"/>
      <c r="L40" s="134"/>
      <c r="M40" s="6"/>
      <c r="O40" s="117"/>
      <c r="Q40" s="116"/>
      <c r="R40" s="96"/>
    </row>
    <row r="41" ht="14.25" customHeight="1">
      <c r="A41" s="5"/>
      <c r="B41" s="53" t="s">
        <v>11</v>
      </c>
      <c r="C41" s="160">
        <f>SUM(C32:C40)</f>
        <v>140000</v>
      </c>
      <c r="D41" s="55"/>
      <c r="E41" s="6"/>
      <c r="F41" s="6"/>
      <c r="G41" s="6"/>
      <c r="H41" s="6"/>
      <c r="I41" s="6"/>
      <c r="J41" s="135"/>
      <c r="L41" s="134"/>
      <c r="M41" s="6"/>
      <c r="O41" s="117"/>
      <c r="Q41" s="116"/>
      <c r="R41" s="96"/>
    </row>
    <row r="42" ht="14.25" customHeight="1">
      <c r="A42" s="5"/>
      <c r="B42" s="56"/>
      <c r="C42" s="57"/>
      <c r="D42" s="58"/>
      <c r="E42" s="6"/>
      <c r="F42" s="6"/>
      <c r="G42" s="6"/>
      <c r="H42" s="6"/>
      <c r="I42" s="6"/>
      <c r="J42" s="135"/>
      <c r="L42" s="134"/>
      <c r="M42" s="6"/>
      <c r="O42" s="117"/>
      <c r="Q42" s="116"/>
      <c r="R42" s="96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50"/>
      <c r="L43" s="41"/>
      <c r="M43" s="22"/>
      <c r="N43" s="6"/>
      <c r="O43" s="117"/>
      <c r="Q43" s="116"/>
      <c r="R43" s="101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50"/>
      <c r="L44" s="80"/>
      <c r="M44" s="22"/>
      <c r="N44" s="6"/>
      <c r="O44" s="117"/>
      <c r="Q44" s="122"/>
      <c r="R44" s="101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22"/>
      <c r="O45" s="117"/>
      <c r="Q45" s="116"/>
      <c r="R45" s="101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81"/>
      <c r="K46" s="46"/>
      <c r="L46" s="19"/>
      <c r="M46" s="22"/>
      <c r="O46" s="123"/>
      <c r="P46" s="46"/>
      <c r="Q46" s="99"/>
      <c r="R46" s="101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81"/>
      <c r="K47" s="46"/>
      <c r="L47" s="19"/>
      <c r="M47" s="22"/>
      <c r="O47" s="123"/>
      <c r="P47" s="46"/>
      <c r="Q47" s="99"/>
      <c r="R47" s="101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50"/>
      <c r="L48" s="47"/>
      <c r="M48" s="6"/>
      <c r="O48" s="117"/>
      <c r="Q48" s="118"/>
      <c r="R48" s="96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161" t="s">
        <v>221</v>
      </c>
      <c r="K49" s="60"/>
      <c r="L49" s="82">
        <f>SUM(L39:L48)</f>
        <v>8000</v>
      </c>
      <c r="M49" s="6"/>
      <c r="O49" s="162" t="s">
        <v>221</v>
      </c>
      <c r="P49" s="60"/>
      <c r="Q49" s="125">
        <f>SUM(Q39:Q48)</f>
        <v>0</v>
      </c>
      <c r="R49" s="96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163" t="s">
        <v>222</v>
      </c>
      <c r="K50" s="37"/>
      <c r="L50" s="38"/>
      <c r="M50" s="83">
        <f>L38+L49</f>
        <v>81700</v>
      </c>
      <c r="O50" s="164" t="s">
        <v>222</v>
      </c>
      <c r="P50" s="37"/>
      <c r="Q50" s="38"/>
      <c r="R50" s="112">
        <f>Q38+Q49</f>
        <v>0</v>
      </c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165" t="s">
        <v>223</v>
      </c>
      <c r="K51" s="37"/>
      <c r="L51" s="38"/>
      <c r="M51" s="166">
        <f>M23-M50</f>
        <v>34300</v>
      </c>
      <c r="O51" s="126" t="s">
        <v>39</v>
      </c>
      <c r="P51" s="37"/>
      <c r="Q51" s="38"/>
      <c r="R51" s="96">
        <f>R23-R50</f>
        <v>0</v>
      </c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167" t="s">
        <v>224</v>
      </c>
      <c r="K52" s="37"/>
      <c r="L52" s="84"/>
      <c r="M52" s="168">
        <v>654000.0</v>
      </c>
      <c r="N52" s="78"/>
      <c r="O52" s="127" t="s">
        <v>40</v>
      </c>
      <c r="P52" s="37"/>
      <c r="Q52" s="84"/>
      <c r="R52" s="128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169" t="s">
        <v>225</v>
      </c>
      <c r="K53" s="37"/>
      <c r="L53" s="84"/>
      <c r="M53" s="170"/>
      <c r="N53" s="78"/>
      <c r="O53" s="127" t="s">
        <v>56</v>
      </c>
      <c r="P53" s="37"/>
      <c r="Q53" s="84"/>
      <c r="R53" s="128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131" t="s">
        <v>226</v>
      </c>
      <c r="M54" s="131">
        <v>485000.0</v>
      </c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131" t="s">
        <v>227</v>
      </c>
      <c r="M55" s="131">
        <v>169000.0</v>
      </c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>
        <f>M54+M55</f>
        <v>654000</v>
      </c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171" t="s">
        <v>209</v>
      </c>
      <c r="J59" s="70"/>
      <c r="K59" s="44" t="s">
        <v>3</v>
      </c>
      <c r="L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71" t="s">
        <v>42</v>
      </c>
      <c r="J60" s="29"/>
      <c r="K60" s="72"/>
      <c r="L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17"/>
      <c r="J61" s="4"/>
      <c r="K61" s="13">
        <v>66000.0</v>
      </c>
      <c r="L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5"/>
      <c r="J62" s="6"/>
      <c r="K62" s="172">
        <v>45000.0</v>
      </c>
      <c r="L62" s="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5"/>
      <c r="J63" s="6"/>
      <c r="K63" s="172">
        <v>5000.0</v>
      </c>
      <c r="L63" s="6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5"/>
      <c r="J64" s="6"/>
      <c r="K64" s="172"/>
      <c r="L64" s="6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5"/>
      <c r="J65" s="6"/>
      <c r="K65" s="172"/>
      <c r="L65" s="6"/>
    </row>
    <row r="66" ht="14.25" customHeight="1">
      <c r="I66" s="5"/>
      <c r="J66" s="6"/>
      <c r="K66" s="12"/>
      <c r="L66" s="91"/>
      <c r="M66" s="92"/>
    </row>
    <row r="67" ht="14.25" customHeight="1">
      <c r="I67" s="5"/>
      <c r="J67" s="6"/>
      <c r="K67" s="87"/>
      <c r="L67" s="175" t="s">
        <v>228</v>
      </c>
      <c r="M67" s="176">
        <v>100000.0</v>
      </c>
    </row>
    <row r="68" ht="14.25" customHeight="1">
      <c r="I68" s="5"/>
      <c r="J68" s="6"/>
      <c r="K68" s="12"/>
    </row>
    <row r="69" ht="14.25" customHeight="1">
      <c r="I69" s="73" t="s">
        <v>43</v>
      </c>
      <c r="J69" s="38"/>
      <c r="K69" s="68">
        <f>SUM(K61:K66)-K67</f>
        <v>116000</v>
      </c>
      <c r="L69" s="6"/>
    </row>
    <row r="70" ht="14.25" customHeight="1">
      <c r="J70" s="6"/>
      <c r="K70" s="6"/>
      <c r="L70" s="6"/>
    </row>
    <row r="71" ht="14.25" customHeight="1">
      <c r="J71" s="6"/>
      <c r="K71" s="6"/>
      <c r="L71" s="6"/>
    </row>
    <row r="72" ht="14.25" customHeight="1">
      <c r="J72" s="6"/>
      <c r="K72" s="6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4"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  <mergeCell ref="O34:P34"/>
    <mergeCell ref="O35:P35"/>
    <mergeCell ref="O27:P27"/>
    <mergeCell ref="O28:P28"/>
    <mergeCell ref="O29:P29"/>
    <mergeCell ref="O30:P30"/>
    <mergeCell ref="O31:P31"/>
    <mergeCell ref="O32:P32"/>
    <mergeCell ref="O33:P33"/>
    <mergeCell ref="J38:K38"/>
    <mergeCell ref="J39:K39"/>
    <mergeCell ref="J40:K40"/>
    <mergeCell ref="J34:K34"/>
    <mergeCell ref="J35:K35"/>
    <mergeCell ref="J36:K36"/>
    <mergeCell ref="O36:P36"/>
    <mergeCell ref="J37:K37"/>
    <mergeCell ref="O37:P37"/>
    <mergeCell ref="O38:P38"/>
    <mergeCell ref="O45:P45"/>
    <mergeCell ref="O46:P46"/>
    <mergeCell ref="J42:K42"/>
    <mergeCell ref="J43:K43"/>
    <mergeCell ref="O43:P43"/>
    <mergeCell ref="J44:K44"/>
    <mergeCell ref="O44:P44"/>
    <mergeCell ref="J45:K45"/>
    <mergeCell ref="J46:K46"/>
    <mergeCell ref="J50:L50"/>
    <mergeCell ref="J51:L51"/>
    <mergeCell ref="J52:L52"/>
    <mergeCell ref="J53:L53"/>
    <mergeCell ref="I59:J59"/>
    <mergeCell ref="I60:K60"/>
    <mergeCell ref="I69:J69"/>
    <mergeCell ref="O51:Q51"/>
    <mergeCell ref="O52:Q52"/>
    <mergeCell ref="O53:Q53"/>
    <mergeCell ref="J47:K47"/>
    <mergeCell ref="O47:P47"/>
    <mergeCell ref="J48:K48"/>
    <mergeCell ref="O48:P48"/>
    <mergeCell ref="J49:K49"/>
    <mergeCell ref="O49:P49"/>
    <mergeCell ref="O50:Q50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J10:K10"/>
    <mergeCell ref="O10:P10"/>
    <mergeCell ref="D11:D13"/>
    <mergeCell ref="J11:K11"/>
    <mergeCell ref="O11:P11"/>
    <mergeCell ref="J12:L12"/>
    <mergeCell ref="B14:C14"/>
    <mergeCell ref="O14:P14"/>
    <mergeCell ref="J13:K13"/>
    <mergeCell ref="J14:K14"/>
    <mergeCell ref="J15:K15"/>
    <mergeCell ref="J16:K16"/>
    <mergeCell ref="J17:K17"/>
    <mergeCell ref="J18:K18"/>
    <mergeCell ref="J19:K19"/>
    <mergeCell ref="J20:L20"/>
    <mergeCell ref="J21:L21"/>
    <mergeCell ref="J22:L22"/>
    <mergeCell ref="J23:L23"/>
    <mergeCell ref="J24:L24"/>
    <mergeCell ref="J25:L25"/>
    <mergeCell ref="J26:K26"/>
    <mergeCell ref="J27:K27"/>
    <mergeCell ref="J28:K28"/>
    <mergeCell ref="J29:K29"/>
    <mergeCell ref="J30:K30"/>
    <mergeCell ref="J31:K31"/>
    <mergeCell ref="J32:K32"/>
    <mergeCell ref="J33:K33"/>
    <mergeCell ref="O39:P39"/>
    <mergeCell ref="O40:P40"/>
    <mergeCell ref="B41:B42"/>
    <mergeCell ref="C41:D42"/>
    <mergeCell ref="J41:K41"/>
    <mergeCell ref="O41:P41"/>
    <mergeCell ref="O42:P4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" width="15.43"/>
    <col customWidth="1" min="4" max="4" width="19.29"/>
    <col customWidth="1" min="5" max="9" width="8.71"/>
    <col customWidth="1" min="10" max="10" width="36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39" t="s">
        <v>229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140" t="s">
        <v>229</v>
      </c>
      <c r="K6" s="10"/>
      <c r="L6" s="11" t="s">
        <v>3</v>
      </c>
      <c r="M6" s="6"/>
      <c r="O6" s="141" t="s">
        <v>229</v>
      </c>
      <c r="P6" s="10"/>
      <c r="Q6" s="95" t="s">
        <v>3</v>
      </c>
      <c r="R6" s="9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  <c r="O7" s="97" t="s">
        <v>5</v>
      </c>
      <c r="P7" s="15"/>
      <c r="Q7" s="16"/>
      <c r="R7" s="96"/>
    </row>
    <row r="8" ht="14.25" customHeight="1">
      <c r="A8" s="5"/>
      <c r="B8" s="17"/>
      <c r="C8" s="17" t="s">
        <v>6</v>
      </c>
      <c r="D8" s="142">
        <v>0.0</v>
      </c>
      <c r="E8" s="6"/>
      <c r="F8" s="6"/>
      <c r="G8" s="6"/>
      <c r="H8" s="6"/>
      <c r="I8" s="6"/>
      <c r="J8" s="143" t="s">
        <v>230</v>
      </c>
      <c r="K8" s="98"/>
      <c r="L8" s="144">
        <v>12500.0</v>
      </c>
      <c r="M8" s="6"/>
      <c r="O8" s="145" t="s">
        <v>230</v>
      </c>
      <c r="P8" s="98"/>
      <c r="Q8" s="177">
        <v>0.0</v>
      </c>
      <c r="R8" s="9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22"/>
      <c r="L9" s="23"/>
      <c r="M9" s="6"/>
      <c r="O9" s="101"/>
      <c r="Q9" s="102"/>
      <c r="R9" s="96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22"/>
      <c r="L10" s="23"/>
      <c r="M10" s="6"/>
      <c r="O10" s="101"/>
      <c r="Q10" s="102"/>
      <c r="R10" s="96"/>
    </row>
    <row r="11" ht="14.25" customHeight="1">
      <c r="A11" s="5"/>
      <c r="B11" s="17"/>
      <c r="C11" s="18"/>
      <c r="D11" s="88">
        <v>40000.0</v>
      </c>
      <c r="E11" s="6"/>
      <c r="F11" s="6"/>
      <c r="G11" s="6"/>
      <c r="H11" s="6"/>
      <c r="I11" s="6"/>
      <c r="J11" s="103"/>
      <c r="K11" s="104"/>
      <c r="L11" s="23"/>
      <c r="M11" s="26">
        <f>SUM(L8:L11)</f>
        <v>12500</v>
      </c>
      <c r="O11" s="105"/>
      <c r="P11" s="104"/>
      <c r="Q11" s="102"/>
      <c r="R11" s="106">
        <f>SUM(Q8:Q11)</f>
        <v>0</v>
      </c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8" t="s">
        <v>10</v>
      </c>
      <c r="K12" s="29"/>
      <c r="L12" s="30"/>
      <c r="M12" s="6"/>
      <c r="O12" s="107" t="s">
        <v>10</v>
      </c>
      <c r="P12" s="29"/>
      <c r="Q12" s="30"/>
      <c r="R12" s="96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43"/>
      <c r="K13" s="98"/>
      <c r="L13" s="144"/>
      <c r="M13" s="6"/>
      <c r="O13" s="145"/>
      <c r="P13" s="98"/>
      <c r="Q13" s="100"/>
      <c r="R13" s="96"/>
    </row>
    <row r="14" ht="14.25" customHeight="1">
      <c r="A14" s="5"/>
      <c r="B14" s="32" t="s">
        <v>11</v>
      </c>
      <c r="C14" s="33"/>
      <c r="D14" s="34">
        <f>SUM(D8:D13)</f>
        <v>140000</v>
      </c>
      <c r="E14" s="6"/>
      <c r="F14" s="6"/>
      <c r="G14" s="6"/>
      <c r="H14" s="6"/>
      <c r="I14" s="6"/>
      <c r="J14" s="132" t="s">
        <v>231</v>
      </c>
      <c r="L14" s="146"/>
      <c r="M14" s="6"/>
      <c r="O14" s="173" t="s">
        <v>232</v>
      </c>
      <c r="Q14" s="178">
        <v>230000.0</v>
      </c>
      <c r="R14" s="9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132" t="s">
        <v>233</v>
      </c>
      <c r="L15" s="23"/>
      <c r="M15" s="6"/>
      <c r="O15" s="101"/>
      <c r="Q15" s="102"/>
      <c r="R15" s="9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132" t="s">
        <v>234</v>
      </c>
      <c r="L16" s="146">
        <v>49000.0</v>
      </c>
      <c r="M16" s="6"/>
      <c r="O16" s="101"/>
      <c r="Q16" s="102"/>
      <c r="R16" s="96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22"/>
      <c r="L17" s="23"/>
      <c r="M17" s="6"/>
      <c r="O17" s="101"/>
      <c r="Q17" s="102"/>
      <c r="R17" s="96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101"/>
      <c r="Q18" s="102"/>
      <c r="R18" s="96"/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23"/>
      <c r="M19" s="179">
        <v>68000.0</v>
      </c>
      <c r="O19" s="101"/>
      <c r="Q19" s="102"/>
      <c r="R19" s="106">
        <f>SUM(Q13:Q18)</f>
        <v>230000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108"/>
      <c r="P20" s="76"/>
      <c r="Q20" s="77"/>
      <c r="R20" s="109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110"/>
      <c r="P21" s="37"/>
      <c r="Q21" s="38"/>
      <c r="R21" s="109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111"/>
      <c r="P22" s="37"/>
      <c r="Q22" s="38"/>
      <c r="R22" s="112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147" t="s">
        <v>12</v>
      </c>
      <c r="K23" s="86"/>
      <c r="L23" s="55"/>
      <c r="M23" s="148">
        <f>M11+M19</f>
        <v>80500</v>
      </c>
      <c r="N23" s="78"/>
      <c r="O23" s="113" t="s">
        <v>12</v>
      </c>
      <c r="P23" s="37"/>
      <c r="Q23" s="38"/>
      <c r="R23" s="114">
        <f>R11+R19</f>
        <v>230000</v>
      </c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49" t="s">
        <v>172</v>
      </c>
      <c r="K24" s="37"/>
      <c r="L24" s="38"/>
      <c r="M24" s="150"/>
      <c r="O24" s="101"/>
      <c r="Q24" s="115"/>
      <c r="R24" s="96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51" t="s">
        <v>173</v>
      </c>
      <c r="K25" s="37"/>
      <c r="L25" s="38"/>
      <c r="M25" s="152"/>
      <c r="O25" s="101"/>
      <c r="Q25" s="116"/>
      <c r="R25" s="96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5" t="s">
        <v>235</v>
      </c>
      <c r="L26" s="136">
        <v>2500.0</v>
      </c>
      <c r="M26" s="6"/>
      <c r="O26" s="101"/>
      <c r="Q26" s="116"/>
      <c r="R26" s="9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135" t="s">
        <v>236</v>
      </c>
      <c r="L27" s="134">
        <v>2900.0</v>
      </c>
      <c r="M27" s="6"/>
      <c r="O27" s="101"/>
      <c r="Q27" s="116"/>
      <c r="R27" s="96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135" t="s">
        <v>237</v>
      </c>
      <c r="L28" s="134">
        <v>1300.0</v>
      </c>
      <c r="M28" s="6"/>
      <c r="O28" s="117"/>
      <c r="P28" s="46"/>
      <c r="Q28" s="116"/>
      <c r="R28" s="96"/>
    </row>
    <row r="29" ht="14.25" customHeight="1">
      <c r="A29" s="6"/>
      <c r="B29" s="153" t="s">
        <v>229</v>
      </c>
      <c r="C29" s="8"/>
      <c r="D29" s="6"/>
      <c r="E29" s="6"/>
      <c r="F29" s="6"/>
      <c r="G29" s="6"/>
      <c r="H29" s="6"/>
      <c r="I29" s="6"/>
      <c r="J29" s="135" t="s">
        <v>238</v>
      </c>
      <c r="L29" s="134">
        <v>2300.0</v>
      </c>
      <c r="M29" s="6"/>
      <c r="O29" s="117"/>
      <c r="P29" s="46"/>
      <c r="Q29" s="116"/>
      <c r="R29" s="96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135" t="s">
        <v>239</v>
      </c>
      <c r="K30" s="46"/>
      <c r="L30" s="134">
        <v>2000.0</v>
      </c>
      <c r="M30" s="6"/>
      <c r="O30" s="117"/>
      <c r="P30" s="46"/>
      <c r="Q30" s="116"/>
      <c r="R30" s="96"/>
    </row>
    <row r="31" ht="14.25" customHeight="1">
      <c r="A31" s="5"/>
      <c r="B31" s="25"/>
      <c r="C31" s="27" t="s">
        <v>3</v>
      </c>
      <c r="D31" s="154" t="s">
        <v>240</v>
      </c>
      <c r="E31" s="6"/>
      <c r="F31" s="6"/>
      <c r="G31" s="6"/>
      <c r="H31" s="6"/>
      <c r="I31" s="6"/>
      <c r="J31" s="135" t="s">
        <v>76</v>
      </c>
      <c r="K31" s="46"/>
      <c r="L31" s="134">
        <v>1500.0</v>
      </c>
      <c r="M31" s="6"/>
      <c r="O31" s="117"/>
      <c r="P31" s="46"/>
      <c r="Q31" s="116"/>
      <c r="R31" s="96"/>
    </row>
    <row r="32" ht="14.25" customHeight="1">
      <c r="A32" s="5"/>
      <c r="B32" s="24" t="s">
        <v>24</v>
      </c>
      <c r="C32" s="44">
        <v>41000.0</v>
      </c>
      <c r="D32" s="180" t="s">
        <v>25</v>
      </c>
      <c r="E32" s="6"/>
      <c r="F32" s="6"/>
      <c r="G32" s="6"/>
      <c r="H32" s="6"/>
      <c r="I32" s="6"/>
      <c r="J32" s="132" t="s">
        <v>241</v>
      </c>
      <c r="L32" s="134">
        <v>3000.0</v>
      </c>
      <c r="M32" s="6"/>
      <c r="O32" s="101"/>
      <c r="Q32" s="116"/>
      <c r="R32" s="96"/>
    </row>
    <row r="33" ht="14.25" customHeight="1">
      <c r="A33" s="6"/>
      <c r="B33" s="44" t="s">
        <v>26</v>
      </c>
      <c r="C33" s="44">
        <v>4000.0</v>
      </c>
      <c r="D33" s="180" t="s">
        <v>25</v>
      </c>
      <c r="E33" s="6"/>
      <c r="F33" s="6"/>
      <c r="G33" s="6"/>
      <c r="H33" s="6"/>
      <c r="I33" s="6"/>
      <c r="J33" s="132" t="s">
        <v>242</v>
      </c>
      <c r="L33" s="134">
        <v>2000.0</v>
      </c>
      <c r="M33" s="6"/>
      <c r="O33" s="101"/>
      <c r="Q33" s="116"/>
      <c r="R33" s="96"/>
    </row>
    <row r="34" ht="14.25" customHeight="1">
      <c r="A34" s="5"/>
      <c r="B34" s="44" t="s">
        <v>27</v>
      </c>
      <c r="C34" s="44">
        <v>1000.0</v>
      </c>
      <c r="D34" s="180" t="s">
        <v>25</v>
      </c>
      <c r="E34" s="6"/>
      <c r="F34" s="6"/>
      <c r="G34" s="6"/>
      <c r="H34" s="6"/>
      <c r="I34" s="6"/>
      <c r="J34" s="132" t="s">
        <v>243</v>
      </c>
      <c r="L34" s="134">
        <v>3000.0</v>
      </c>
      <c r="M34" s="6"/>
      <c r="O34" s="101"/>
      <c r="Q34" s="116"/>
      <c r="R34" s="96"/>
    </row>
    <row r="35" ht="14.25" customHeight="1">
      <c r="A35" s="5"/>
      <c r="B35" s="44" t="s">
        <v>29</v>
      </c>
      <c r="C35" s="157">
        <v>68000.0</v>
      </c>
      <c r="D35" s="180" t="s">
        <v>25</v>
      </c>
      <c r="E35" s="6"/>
      <c r="F35" s="6"/>
      <c r="G35" s="6"/>
      <c r="H35" s="6"/>
      <c r="I35" s="6"/>
      <c r="J35" s="132" t="s">
        <v>60</v>
      </c>
      <c r="L35" s="134">
        <v>2000.0</v>
      </c>
      <c r="M35" s="6"/>
      <c r="O35" s="101"/>
      <c r="Q35" s="116"/>
      <c r="R35" s="96"/>
    </row>
    <row r="36" ht="14.25" customHeight="1">
      <c r="A36" s="5"/>
      <c r="B36" s="44" t="s">
        <v>31</v>
      </c>
      <c r="C36" s="44">
        <v>5000.0</v>
      </c>
      <c r="D36" s="180" t="s">
        <v>25</v>
      </c>
      <c r="E36" s="6"/>
      <c r="F36" s="6"/>
      <c r="G36" s="6"/>
      <c r="H36" s="6"/>
      <c r="I36" s="6"/>
      <c r="J36" s="132" t="s">
        <v>244</v>
      </c>
      <c r="L36" s="134">
        <v>2000.0</v>
      </c>
      <c r="M36" s="6"/>
      <c r="O36" s="101"/>
      <c r="Q36" s="116"/>
      <c r="R36" s="96"/>
    </row>
    <row r="37" ht="14.25" customHeight="1">
      <c r="A37" s="5"/>
      <c r="B37" s="44" t="s">
        <v>33</v>
      </c>
      <c r="C37" s="157">
        <v>5000.0</v>
      </c>
      <c r="D37" s="180" t="s">
        <v>25</v>
      </c>
      <c r="E37" s="6"/>
      <c r="F37" s="6"/>
      <c r="G37" s="6"/>
      <c r="H37" s="6"/>
      <c r="I37" s="6"/>
      <c r="J37" s="22"/>
      <c r="K37" s="46"/>
      <c r="L37" s="47"/>
      <c r="M37" s="6"/>
      <c r="O37" s="101"/>
      <c r="P37" s="46"/>
      <c r="Q37" s="118"/>
      <c r="R37" s="96"/>
    </row>
    <row r="38" ht="14.25" customHeight="1">
      <c r="A38" s="5"/>
      <c r="B38" s="157" t="s">
        <v>181</v>
      </c>
      <c r="C38" s="157">
        <v>10000.0</v>
      </c>
      <c r="D38" s="155" t="s">
        <v>25</v>
      </c>
      <c r="E38" s="6"/>
      <c r="F38" s="6"/>
      <c r="G38" s="6"/>
      <c r="H38" s="6"/>
      <c r="I38" s="6"/>
      <c r="J38" s="158" t="s">
        <v>46</v>
      </c>
      <c r="K38" s="38"/>
      <c r="L38" s="49">
        <f>SUM(L24:L36)</f>
        <v>24500</v>
      </c>
      <c r="M38" s="6"/>
      <c r="O38" s="159" t="s">
        <v>46</v>
      </c>
      <c r="P38" s="38"/>
      <c r="Q38" s="120">
        <f>SUM(Q24:Q36)</f>
        <v>0</v>
      </c>
      <c r="R38" s="96"/>
    </row>
    <row r="39" ht="14.25" customHeight="1">
      <c r="A39" s="5"/>
      <c r="B39" s="157" t="s">
        <v>183</v>
      </c>
      <c r="C39" s="157">
        <v>6000.0</v>
      </c>
      <c r="D39" s="155" t="s">
        <v>25</v>
      </c>
      <c r="E39" s="6"/>
      <c r="F39" s="6"/>
      <c r="G39" s="6"/>
      <c r="H39" s="6"/>
      <c r="I39" s="6"/>
      <c r="J39" s="135" t="s">
        <v>245</v>
      </c>
      <c r="L39" s="136">
        <v>2300.0</v>
      </c>
      <c r="M39" s="6"/>
      <c r="O39" s="117"/>
      <c r="Q39" s="121"/>
      <c r="R39" s="96"/>
    </row>
    <row r="40" ht="14.25" customHeight="1">
      <c r="A40" s="5"/>
      <c r="B40" s="18" t="s">
        <v>104</v>
      </c>
      <c r="C40" s="52">
        <v>0.0</v>
      </c>
      <c r="D40" s="155" t="s">
        <v>25</v>
      </c>
      <c r="E40" s="6"/>
      <c r="F40" s="6"/>
      <c r="G40" s="6"/>
      <c r="H40" s="6"/>
      <c r="I40" s="6"/>
      <c r="J40" s="135" t="s">
        <v>246</v>
      </c>
      <c r="L40" s="134">
        <v>4700.0</v>
      </c>
      <c r="M40" s="6"/>
      <c r="O40" s="117"/>
      <c r="Q40" s="116"/>
      <c r="R40" s="96"/>
    </row>
    <row r="41" ht="14.25" customHeight="1">
      <c r="A41" s="5"/>
      <c r="B41" s="53" t="s">
        <v>11</v>
      </c>
      <c r="C41" s="160">
        <f>SUM(C32:C40)</f>
        <v>140000</v>
      </c>
      <c r="D41" s="55"/>
      <c r="E41" s="6"/>
      <c r="F41" s="6"/>
      <c r="G41" s="6"/>
      <c r="H41" s="6"/>
      <c r="I41" s="6"/>
      <c r="J41" s="135" t="s">
        <v>247</v>
      </c>
      <c r="L41" s="134">
        <v>15000.0</v>
      </c>
      <c r="M41" s="6"/>
      <c r="O41" s="117"/>
      <c r="Q41" s="116"/>
      <c r="R41" s="96"/>
    </row>
    <row r="42" ht="14.25" customHeight="1">
      <c r="A42" s="5"/>
      <c r="B42" s="56"/>
      <c r="C42" s="57"/>
      <c r="D42" s="58"/>
      <c r="E42" s="6"/>
      <c r="F42" s="6"/>
      <c r="G42" s="6"/>
      <c r="H42" s="6"/>
      <c r="I42" s="6"/>
      <c r="J42" s="135" t="s">
        <v>248</v>
      </c>
      <c r="L42" s="134">
        <v>6000.0</v>
      </c>
      <c r="M42" s="6"/>
      <c r="O42" s="117"/>
      <c r="Q42" s="116"/>
      <c r="R42" s="96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50"/>
      <c r="L43" s="41"/>
      <c r="M43" s="22"/>
      <c r="N43" s="6"/>
      <c r="O43" s="117"/>
      <c r="Q43" s="116"/>
      <c r="R43" s="101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50"/>
      <c r="L44" s="80"/>
      <c r="M44" s="22"/>
      <c r="N44" s="6"/>
      <c r="O44" s="117"/>
      <c r="Q44" s="122"/>
      <c r="R44" s="101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22"/>
      <c r="O45" s="117"/>
      <c r="Q45" s="116"/>
      <c r="R45" s="101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81"/>
      <c r="K46" s="46"/>
      <c r="L46" s="19"/>
      <c r="M46" s="22"/>
      <c r="O46" s="123"/>
      <c r="P46" s="46"/>
      <c r="Q46" s="99"/>
      <c r="R46" s="101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81"/>
      <c r="K47" s="46"/>
      <c r="L47" s="19"/>
      <c r="M47" s="22"/>
      <c r="O47" s="123"/>
      <c r="P47" s="46"/>
      <c r="Q47" s="99"/>
      <c r="R47" s="101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50"/>
      <c r="L48" s="47"/>
      <c r="M48" s="6"/>
      <c r="O48" s="117"/>
      <c r="Q48" s="118"/>
      <c r="R48" s="96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161" t="s">
        <v>54</v>
      </c>
      <c r="K49" s="60"/>
      <c r="L49" s="82">
        <f>SUM(L39:L48)</f>
        <v>28000</v>
      </c>
      <c r="M49" s="131" t="s">
        <v>249</v>
      </c>
      <c r="O49" s="162" t="s">
        <v>54</v>
      </c>
      <c r="P49" s="60"/>
      <c r="Q49" s="125">
        <f>SUM(Q39:Q48)</f>
        <v>0</v>
      </c>
      <c r="R49" s="96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163" t="s">
        <v>55</v>
      </c>
      <c r="K50" s="37"/>
      <c r="L50" s="38"/>
      <c r="M50" s="83">
        <f>L38+L49</f>
        <v>52500</v>
      </c>
      <c r="O50" s="164" t="s">
        <v>55</v>
      </c>
      <c r="P50" s="37"/>
      <c r="Q50" s="38"/>
      <c r="R50" s="112">
        <f>Q38+Q49</f>
        <v>0</v>
      </c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165" t="s">
        <v>250</v>
      </c>
      <c r="K51" s="37"/>
      <c r="L51" s="38"/>
      <c r="M51" s="174">
        <f>M23-M50</f>
        <v>28000</v>
      </c>
      <c r="O51" s="181" t="s">
        <v>250</v>
      </c>
      <c r="P51" s="37"/>
      <c r="Q51" s="38"/>
      <c r="R51" s="96">
        <f>R23-R50</f>
        <v>230000</v>
      </c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167" t="s">
        <v>251</v>
      </c>
      <c r="K52" s="37"/>
      <c r="L52" s="84"/>
      <c r="M52" s="168"/>
      <c r="N52" s="78"/>
      <c r="O52" s="127" t="s">
        <v>40</v>
      </c>
      <c r="P52" s="37"/>
      <c r="Q52" s="84"/>
      <c r="R52" s="128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169" t="s">
        <v>252</v>
      </c>
      <c r="K53" s="37"/>
      <c r="L53" s="84"/>
      <c r="M53" s="170"/>
      <c r="N53" s="78"/>
      <c r="O53" s="127" t="s">
        <v>56</v>
      </c>
      <c r="P53" s="37"/>
      <c r="Q53" s="84"/>
      <c r="R53" s="128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131" t="s">
        <v>253</v>
      </c>
      <c r="K54" s="131">
        <v>500000.0</v>
      </c>
      <c r="L54" s="6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131" t="s">
        <v>227</v>
      </c>
      <c r="K55" s="131">
        <v>180000.0</v>
      </c>
      <c r="L55" s="6"/>
      <c r="M55" s="6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6"/>
      <c r="K56" s="182">
        <f>K54+K55</f>
        <v>680000</v>
      </c>
      <c r="L56" s="6"/>
      <c r="M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171" t="s">
        <v>229</v>
      </c>
      <c r="J59" s="70"/>
      <c r="K59" s="44" t="s">
        <v>3</v>
      </c>
      <c r="L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71" t="s">
        <v>42</v>
      </c>
      <c r="J60" s="29"/>
      <c r="K60" s="72"/>
      <c r="L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17"/>
      <c r="J61" s="4"/>
      <c r="K61" s="13">
        <v>66000.0</v>
      </c>
      <c r="L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5"/>
      <c r="J62" s="6"/>
      <c r="K62" s="12">
        <v>25000.0</v>
      </c>
      <c r="L62" s="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5"/>
      <c r="J63" s="6"/>
      <c r="K63" s="12">
        <v>10000.0</v>
      </c>
      <c r="L63" s="6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5"/>
      <c r="J64" s="6"/>
      <c r="K64" s="172">
        <v>5000.0</v>
      </c>
      <c r="L64" s="6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5"/>
      <c r="J65" s="6"/>
      <c r="K65" s="172">
        <v>5000.0</v>
      </c>
      <c r="L65" s="6"/>
    </row>
    <row r="66" ht="14.25" customHeight="1">
      <c r="I66" s="5"/>
      <c r="J66" s="6"/>
      <c r="K66" s="172">
        <v>5000.0</v>
      </c>
      <c r="L66" s="91"/>
      <c r="M66" s="92"/>
    </row>
    <row r="67" ht="14.25" customHeight="1">
      <c r="I67" s="5"/>
      <c r="J67" s="6"/>
      <c r="K67" s="172">
        <v>5000.0</v>
      </c>
      <c r="L67" s="91"/>
      <c r="M67" s="92"/>
    </row>
    <row r="68" ht="14.25" customHeight="1">
      <c r="I68" s="5"/>
      <c r="J68" s="6"/>
      <c r="K68" s="12"/>
    </row>
    <row r="69" ht="14.25" customHeight="1">
      <c r="I69" s="73" t="s">
        <v>43</v>
      </c>
      <c r="J69" s="38"/>
      <c r="K69" s="68">
        <f>SUM(K61:K67)</f>
        <v>121000</v>
      </c>
      <c r="L69" s="6"/>
    </row>
    <row r="70" ht="14.25" customHeight="1">
      <c r="J70" s="131" t="s">
        <v>254</v>
      </c>
      <c r="K70" s="131">
        <v>100000.0</v>
      </c>
      <c r="L70" s="6"/>
    </row>
    <row r="71" ht="14.25" customHeight="1">
      <c r="J71" s="6"/>
      <c r="K71" s="6"/>
      <c r="L71" s="6"/>
    </row>
    <row r="72" ht="14.25" customHeight="1">
      <c r="J72" s="6"/>
      <c r="K72" s="6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I$69:$K$70"/>
  <mergeCells count="104"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  <mergeCell ref="O34:P34"/>
    <mergeCell ref="O35:P35"/>
    <mergeCell ref="O27:P27"/>
    <mergeCell ref="O28:P28"/>
    <mergeCell ref="O29:P29"/>
    <mergeCell ref="O30:P30"/>
    <mergeCell ref="O31:P31"/>
    <mergeCell ref="O32:P32"/>
    <mergeCell ref="O33:P33"/>
    <mergeCell ref="J38:K38"/>
    <mergeCell ref="J39:K39"/>
    <mergeCell ref="J40:K40"/>
    <mergeCell ref="J34:K34"/>
    <mergeCell ref="J35:K35"/>
    <mergeCell ref="J36:K36"/>
    <mergeCell ref="O36:P36"/>
    <mergeCell ref="J37:K37"/>
    <mergeCell ref="O37:P37"/>
    <mergeCell ref="O38:P38"/>
    <mergeCell ref="O45:P45"/>
    <mergeCell ref="O46:P46"/>
    <mergeCell ref="J42:K42"/>
    <mergeCell ref="J43:K43"/>
    <mergeCell ref="O43:P43"/>
    <mergeCell ref="J44:K44"/>
    <mergeCell ref="O44:P44"/>
    <mergeCell ref="J45:K45"/>
    <mergeCell ref="J46:K46"/>
    <mergeCell ref="J50:L50"/>
    <mergeCell ref="J51:L51"/>
    <mergeCell ref="J52:L52"/>
    <mergeCell ref="J53:L53"/>
    <mergeCell ref="I59:J59"/>
    <mergeCell ref="I60:K60"/>
    <mergeCell ref="I69:J69"/>
    <mergeCell ref="O51:Q51"/>
    <mergeCell ref="O52:Q52"/>
    <mergeCell ref="O53:Q53"/>
    <mergeCell ref="J47:K47"/>
    <mergeCell ref="O47:P47"/>
    <mergeCell ref="J48:K48"/>
    <mergeCell ref="O48:P48"/>
    <mergeCell ref="J49:K49"/>
    <mergeCell ref="O49:P49"/>
    <mergeCell ref="O50:Q50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J10:K10"/>
    <mergeCell ref="O10:P10"/>
    <mergeCell ref="D11:D13"/>
    <mergeCell ref="J11:K11"/>
    <mergeCell ref="O11:P11"/>
    <mergeCell ref="J12:L12"/>
    <mergeCell ref="B14:C14"/>
    <mergeCell ref="O14:P14"/>
    <mergeCell ref="J13:K13"/>
    <mergeCell ref="J14:K14"/>
    <mergeCell ref="J15:K15"/>
    <mergeCell ref="J16:K16"/>
    <mergeCell ref="J17:K17"/>
    <mergeCell ref="J18:K18"/>
    <mergeCell ref="J19:K19"/>
    <mergeCell ref="J20:L20"/>
    <mergeCell ref="J21:L21"/>
    <mergeCell ref="J22:L22"/>
    <mergeCell ref="J23:L23"/>
    <mergeCell ref="J24:L24"/>
    <mergeCell ref="J25:L25"/>
    <mergeCell ref="J26:K26"/>
    <mergeCell ref="J27:K27"/>
    <mergeCell ref="J28:K28"/>
    <mergeCell ref="J29:K29"/>
    <mergeCell ref="J30:K30"/>
    <mergeCell ref="J31:K31"/>
    <mergeCell ref="J32:K32"/>
    <mergeCell ref="J33:K33"/>
    <mergeCell ref="O39:P39"/>
    <mergeCell ref="O40:P40"/>
    <mergeCell ref="B41:B42"/>
    <mergeCell ref="C41:D42"/>
    <mergeCell ref="J41:K41"/>
    <mergeCell ref="O41:P41"/>
    <mergeCell ref="O42:P4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" width="15.43"/>
    <col customWidth="1" min="4" max="4" width="19.29"/>
    <col customWidth="1" min="5" max="9" width="8.71"/>
    <col customWidth="1" min="10" max="10" width="36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39" t="s">
        <v>255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140" t="s">
        <v>255</v>
      </c>
      <c r="K6" s="10"/>
      <c r="L6" s="11" t="s">
        <v>3</v>
      </c>
      <c r="M6" s="6"/>
      <c r="O6" s="141" t="s">
        <v>255</v>
      </c>
      <c r="P6" s="10"/>
      <c r="Q6" s="95" t="s">
        <v>3</v>
      </c>
      <c r="R6" s="9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  <c r="O7" s="97" t="s">
        <v>5</v>
      </c>
      <c r="P7" s="15"/>
      <c r="Q7" s="16"/>
      <c r="R7" s="96"/>
    </row>
    <row r="8" ht="14.25" customHeight="1">
      <c r="A8" s="5"/>
      <c r="B8" s="17"/>
      <c r="C8" s="17" t="s">
        <v>6</v>
      </c>
      <c r="D8" s="142">
        <v>0.0</v>
      </c>
      <c r="E8" s="6"/>
      <c r="F8" s="6"/>
      <c r="G8" s="6"/>
      <c r="H8" s="6"/>
      <c r="I8" s="6"/>
      <c r="J8" s="143" t="s">
        <v>256</v>
      </c>
      <c r="K8" s="98"/>
      <c r="L8" s="144">
        <v>34300.0</v>
      </c>
      <c r="M8" s="6"/>
      <c r="O8" s="145" t="s">
        <v>256</v>
      </c>
      <c r="P8" s="98"/>
      <c r="Q8" s="100">
        <v>0.0</v>
      </c>
      <c r="R8" s="9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22"/>
      <c r="L9" s="23"/>
      <c r="M9" s="6"/>
      <c r="O9" s="101"/>
      <c r="Q9" s="102"/>
      <c r="R9" s="96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22"/>
      <c r="L10" s="23"/>
      <c r="M10" s="6"/>
      <c r="O10" s="101"/>
      <c r="Q10" s="102"/>
      <c r="R10" s="96"/>
    </row>
    <row r="11" ht="14.25" customHeight="1">
      <c r="A11" s="5"/>
      <c r="B11" s="17"/>
      <c r="C11" s="18"/>
      <c r="D11" s="88">
        <v>40000.0</v>
      </c>
      <c r="E11" s="6"/>
      <c r="F11" s="6"/>
      <c r="G11" s="6"/>
      <c r="H11" s="6"/>
      <c r="I11" s="6"/>
      <c r="J11" s="103"/>
      <c r="K11" s="104"/>
      <c r="L11" s="23"/>
      <c r="M11" s="26">
        <f>SUM(L8:L11)</f>
        <v>34300</v>
      </c>
      <c r="O11" s="105"/>
      <c r="P11" s="104"/>
      <c r="Q11" s="102"/>
      <c r="R11" s="106">
        <f>SUM(Q8:Q11)</f>
        <v>0</v>
      </c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8" t="s">
        <v>10</v>
      </c>
      <c r="K12" s="29"/>
      <c r="L12" s="30"/>
      <c r="M12" s="6"/>
      <c r="O12" s="107" t="s">
        <v>10</v>
      </c>
      <c r="P12" s="29"/>
      <c r="Q12" s="30"/>
      <c r="R12" s="96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43"/>
      <c r="K13" s="98"/>
      <c r="L13" s="144"/>
      <c r="M13" s="6"/>
      <c r="O13" s="145"/>
      <c r="P13" s="98"/>
      <c r="Q13" s="100"/>
      <c r="R13" s="96"/>
    </row>
    <row r="14" ht="14.25" customHeight="1">
      <c r="A14" s="5"/>
      <c r="B14" s="32" t="s">
        <v>11</v>
      </c>
      <c r="C14" s="33"/>
      <c r="D14" s="34">
        <f>SUM(D8:D13)</f>
        <v>140000</v>
      </c>
      <c r="E14" s="6"/>
      <c r="F14" s="6"/>
      <c r="G14" s="6"/>
      <c r="H14" s="6"/>
      <c r="I14" s="6"/>
      <c r="J14" s="132" t="s">
        <v>257</v>
      </c>
      <c r="L14" s="146">
        <v>60000.0</v>
      </c>
      <c r="M14" s="6"/>
      <c r="O14" s="173" t="s">
        <v>258</v>
      </c>
      <c r="Q14" s="102"/>
      <c r="R14" s="9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132" t="s">
        <v>213</v>
      </c>
      <c r="L15" s="23"/>
      <c r="M15" s="6"/>
      <c r="O15" s="101"/>
      <c r="Q15" s="102"/>
      <c r="R15" s="9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L16" s="23"/>
      <c r="M16" s="6"/>
      <c r="O16" s="101"/>
      <c r="Q16" s="102"/>
      <c r="R16" s="96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22"/>
      <c r="L17" s="23"/>
      <c r="M17" s="6"/>
      <c r="O17" s="101"/>
      <c r="Q17" s="102"/>
      <c r="R17" s="96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101"/>
      <c r="Q18" s="102"/>
      <c r="R18" s="96"/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23"/>
      <c r="M19" s="26">
        <f>SUM(L13:L18)</f>
        <v>60000</v>
      </c>
      <c r="O19" s="101"/>
      <c r="Q19" s="102"/>
      <c r="R19" s="106">
        <f>SUM(Q13:Q18)</f>
        <v>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108"/>
      <c r="P20" s="76"/>
      <c r="Q20" s="77"/>
      <c r="R20" s="109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110"/>
      <c r="P21" s="37"/>
      <c r="Q21" s="38"/>
      <c r="R21" s="109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111"/>
      <c r="P22" s="37"/>
      <c r="Q22" s="38"/>
      <c r="R22" s="112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147" t="s">
        <v>12</v>
      </c>
      <c r="K23" s="86"/>
      <c r="L23" s="55"/>
      <c r="M23" s="148">
        <f>M11+M19</f>
        <v>94300</v>
      </c>
      <c r="N23" s="78"/>
      <c r="O23" s="113" t="s">
        <v>12</v>
      </c>
      <c r="P23" s="37"/>
      <c r="Q23" s="38"/>
      <c r="R23" s="114">
        <f>R11+R19</f>
        <v>0</v>
      </c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49" t="s">
        <v>172</v>
      </c>
      <c r="K24" s="37"/>
      <c r="L24" s="38"/>
      <c r="M24" s="150"/>
      <c r="O24" s="101"/>
      <c r="Q24" s="115"/>
      <c r="R24" s="96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51" t="s">
        <v>173</v>
      </c>
      <c r="K25" s="37"/>
      <c r="L25" s="38"/>
      <c r="M25" s="152"/>
      <c r="O25" s="101"/>
      <c r="Q25" s="116"/>
      <c r="R25" s="96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5" t="s">
        <v>259</v>
      </c>
      <c r="L26" s="136">
        <v>2000.0</v>
      </c>
      <c r="M26" s="6"/>
      <c r="O26" s="101"/>
      <c r="Q26" s="116"/>
      <c r="R26" s="9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135" t="s">
        <v>260</v>
      </c>
      <c r="L27" s="134">
        <v>2000.0</v>
      </c>
      <c r="M27" s="6"/>
      <c r="O27" s="101"/>
      <c r="Q27" s="116"/>
      <c r="R27" s="96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135" t="s">
        <v>261</v>
      </c>
      <c r="L28" s="134">
        <v>1000.0</v>
      </c>
      <c r="M28" s="6"/>
      <c r="O28" s="117"/>
      <c r="P28" s="46"/>
      <c r="Q28" s="116"/>
      <c r="R28" s="96"/>
    </row>
    <row r="29" ht="14.25" customHeight="1">
      <c r="A29" s="6"/>
      <c r="B29" s="153" t="s">
        <v>255</v>
      </c>
      <c r="C29" s="8"/>
      <c r="D29" s="6"/>
      <c r="E29" s="6"/>
      <c r="F29" s="6"/>
      <c r="G29" s="6"/>
      <c r="H29" s="6"/>
      <c r="I29" s="6"/>
      <c r="J29" s="135" t="s">
        <v>174</v>
      </c>
      <c r="L29" s="134">
        <v>7800.0</v>
      </c>
      <c r="M29" s="6"/>
      <c r="O29" s="117"/>
      <c r="P29" s="46"/>
      <c r="Q29" s="116"/>
      <c r="R29" s="96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135" t="s">
        <v>138</v>
      </c>
      <c r="K30" s="46"/>
      <c r="L30" s="134">
        <v>11000.0</v>
      </c>
      <c r="M30" s="6"/>
      <c r="O30" s="117"/>
      <c r="P30" s="46"/>
      <c r="Q30" s="116"/>
      <c r="R30" s="96"/>
    </row>
    <row r="31" ht="14.25" customHeight="1">
      <c r="A31" s="5"/>
      <c r="B31" s="25"/>
      <c r="C31" s="27" t="s">
        <v>3</v>
      </c>
      <c r="D31" s="154" t="s">
        <v>262</v>
      </c>
      <c r="E31" s="6"/>
      <c r="F31" s="6"/>
      <c r="G31" s="6"/>
      <c r="H31" s="6"/>
      <c r="I31" s="6"/>
      <c r="J31" s="135" t="s">
        <v>215</v>
      </c>
      <c r="K31" s="46"/>
      <c r="L31" s="134">
        <v>13500.0</v>
      </c>
      <c r="M31" s="6"/>
      <c r="O31" s="117"/>
      <c r="P31" s="46"/>
      <c r="Q31" s="116"/>
      <c r="R31" s="96"/>
    </row>
    <row r="32" ht="14.25" customHeight="1">
      <c r="A32" s="5"/>
      <c r="B32" s="24" t="s">
        <v>24</v>
      </c>
      <c r="C32" s="44">
        <v>41000.0</v>
      </c>
      <c r="D32" s="155" t="s">
        <v>25</v>
      </c>
      <c r="E32" s="6"/>
      <c r="F32" s="6"/>
      <c r="G32" s="6"/>
      <c r="H32" s="6"/>
      <c r="I32" s="6"/>
      <c r="J32" s="132" t="s">
        <v>263</v>
      </c>
      <c r="L32" s="134">
        <v>4500.0</v>
      </c>
      <c r="M32" s="6"/>
      <c r="O32" s="101"/>
      <c r="Q32" s="116"/>
      <c r="R32" s="96"/>
    </row>
    <row r="33" ht="14.25" customHeight="1">
      <c r="A33" s="6"/>
      <c r="B33" s="44" t="s">
        <v>26</v>
      </c>
      <c r="C33" s="44">
        <v>4000.0</v>
      </c>
      <c r="D33" s="155" t="s">
        <v>25</v>
      </c>
      <c r="E33" s="6"/>
      <c r="F33" s="6"/>
      <c r="G33" s="6"/>
      <c r="H33" s="6"/>
      <c r="I33" s="6"/>
      <c r="J33" s="22"/>
      <c r="L33" s="41"/>
      <c r="M33" s="6"/>
      <c r="O33" s="101"/>
      <c r="Q33" s="116"/>
      <c r="R33" s="96"/>
    </row>
    <row r="34" ht="14.25" customHeight="1">
      <c r="A34" s="5"/>
      <c r="B34" s="44" t="s">
        <v>27</v>
      </c>
      <c r="C34" s="44">
        <v>1000.0</v>
      </c>
      <c r="D34" s="180" t="s">
        <v>25</v>
      </c>
      <c r="E34" s="6"/>
      <c r="F34" s="6"/>
      <c r="G34" s="6"/>
      <c r="H34" s="6"/>
      <c r="I34" s="6"/>
      <c r="J34" s="22"/>
      <c r="L34" s="41"/>
      <c r="M34" s="6"/>
      <c r="O34" s="101"/>
      <c r="Q34" s="116"/>
      <c r="R34" s="96"/>
    </row>
    <row r="35" ht="14.25" customHeight="1">
      <c r="A35" s="5"/>
      <c r="B35" s="44" t="s">
        <v>29</v>
      </c>
      <c r="C35" s="157">
        <v>60000.0</v>
      </c>
      <c r="D35" s="155" t="s">
        <v>25</v>
      </c>
      <c r="E35" s="6"/>
      <c r="F35" s="6"/>
      <c r="G35" s="6"/>
      <c r="H35" s="6"/>
      <c r="I35" s="6"/>
      <c r="J35" s="22"/>
      <c r="L35" s="41"/>
      <c r="M35" s="6"/>
      <c r="O35" s="101"/>
      <c r="Q35" s="116"/>
      <c r="R35" s="96"/>
    </row>
    <row r="36" ht="14.25" customHeight="1">
      <c r="A36" s="5"/>
      <c r="B36" s="44" t="s">
        <v>31</v>
      </c>
      <c r="C36" s="44">
        <v>5000.0</v>
      </c>
      <c r="D36" s="180" t="s">
        <v>25</v>
      </c>
      <c r="E36" s="6"/>
      <c r="F36" s="6"/>
      <c r="G36" s="6"/>
      <c r="H36" s="6"/>
      <c r="I36" s="6"/>
      <c r="J36" s="22"/>
      <c r="L36" s="41"/>
      <c r="M36" s="6"/>
      <c r="O36" s="101"/>
      <c r="Q36" s="116"/>
      <c r="R36" s="96"/>
    </row>
    <row r="37" ht="14.25" customHeight="1">
      <c r="A37" s="5"/>
      <c r="B37" s="44" t="s">
        <v>33</v>
      </c>
      <c r="C37" s="157">
        <v>5000.0</v>
      </c>
      <c r="D37" s="180" t="s">
        <v>25</v>
      </c>
      <c r="E37" s="6"/>
      <c r="F37" s="6"/>
      <c r="G37" s="6"/>
      <c r="H37" s="6"/>
      <c r="I37" s="6"/>
      <c r="J37" s="22"/>
      <c r="K37" s="46"/>
      <c r="L37" s="47"/>
      <c r="M37" s="6"/>
      <c r="O37" s="101"/>
      <c r="P37" s="46"/>
      <c r="Q37" s="118"/>
      <c r="R37" s="96"/>
    </row>
    <row r="38" ht="14.25" customHeight="1">
      <c r="A38" s="5"/>
      <c r="B38" s="157" t="s">
        <v>181</v>
      </c>
      <c r="C38" s="157">
        <v>8000.0</v>
      </c>
      <c r="D38" s="155" t="s">
        <v>25</v>
      </c>
      <c r="E38" s="6"/>
      <c r="F38" s="6"/>
      <c r="G38" s="6"/>
      <c r="H38" s="6"/>
      <c r="I38" s="6"/>
      <c r="J38" s="158" t="s">
        <v>28</v>
      </c>
      <c r="K38" s="38"/>
      <c r="L38" s="49">
        <f>SUM(L24:L36)</f>
        <v>41800</v>
      </c>
      <c r="M38" s="6"/>
      <c r="O38" s="159" t="s">
        <v>28</v>
      </c>
      <c r="P38" s="38"/>
      <c r="Q38" s="120">
        <f>SUM(Q24:Q36)</f>
        <v>0</v>
      </c>
      <c r="R38" s="96"/>
    </row>
    <row r="39" ht="14.25" customHeight="1">
      <c r="A39" s="5"/>
      <c r="B39" s="157" t="s">
        <v>183</v>
      </c>
      <c r="C39" s="157">
        <v>16000.0</v>
      </c>
      <c r="D39" s="155" t="s">
        <v>25</v>
      </c>
      <c r="E39" s="6"/>
      <c r="F39" s="6"/>
      <c r="G39" s="6"/>
      <c r="H39" s="6"/>
      <c r="I39" s="6"/>
      <c r="J39" s="135" t="s">
        <v>138</v>
      </c>
      <c r="L39" s="136">
        <v>40000.0</v>
      </c>
      <c r="M39" s="6"/>
      <c r="O39" s="117"/>
      <c r="Q39" s="121"/>
      <c r="R39" s="96"/>
    </row>
    <row r="40" ht="14.25" customHeight="1">
      <c r="A40" s="5"/>
      <c r="B40" s="18" t="s">
        <v>104</v>
      </c>
      <c r="C40" s="52">
        <v>0.0</v>
      </c>
      <c r="D40" s="155" t="s">
        <v>25</v>
      </c>
      <c r="E40" s="6"/>
      <c r="F40" s="6"/>
      <c r="G40" s="6"/>
      <c r="H40" s="6"/>
      <c r="I40" s="6"/>
      <c r="J40" s="135"/>
      <c r="L40" s="134"/>
      <c r="M40" s="6"/>
      <c r="O40" s="117"/>
      <c r="Q40" s="116"/>
      <c r="R40" s="96"/>
    </row>
    <row r="41" ht="14.25" customHeight="1">
      <c r="A41" s="5"/>
      <c r="B41" s="53" t="s">
        <v>11</v>
      </c>
      <c r="C41" s="160">
        <f>SUM(C32:C40)</f>
        <v>140000</v>
      </c>
      <c r="D41" s="55"/>
      <c r="E41" s="6"/>
      <c r="F41" s="6"/>
      <c r="G41" s="6"/>
      <c r="H41" s="6"/>
      <c r="I41" s="6"/>
      <c r="J41" s="135"/>
      <c r="L41" s="134"/>
      <c r="M41" s="6"/>
      <c r="O41" s="117"/>
      <c r="Q41" s="116"/>
      <c r="R41" s="96"/>
    </row>
    <row r="42" ht="14.25" customHeight="1">
      <c r="A42" s="5"/>
      <c r="B42" s="56"/>
      <c r="C42" s="57"/>
      <c r="D42" s="58"/>
      <c r="E42" s="6"/>
      <c r="F42" s="6"/>
      <c r="G42" s="6"/>
      <c r="H42" s="6"/>
      <c r="I42" s="6"/>
      <c r="J42" s="135"/>
      <c r="L42" s="134"/>
      <c r="M42" s="6"/>
      <c r="O42" s="117"/>
      <c r="Q42" s="116"/>
      <c r="R42" s="96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50"/>
      <c r="L43" s="41"/>
      <c r="M43" s="22"/>
      <c r="N43" s="6"/>
      <c r="O43" s="117"/>
      <c r="Q43" s="116"/>
      <c r="R43" s="101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50"/>
      <c r="L44" s="80"/>
      <c r="M44" s="22"/>
      <c r="N44" s="6"/>
      <c r="O44" s="117"/>
      <c r="Q44" s="122"/>
      <c r="R44" s="101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22"/>
      <c r="O45" s="117"/>
      <c r="Q45" s="116"/>
      <c r="R45" s="101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81"/>
      <c r="K46" s="46"/>
      <c r="L46" s="19"/>
      <c r="M46" s="22"/>
      <c r="O46" s="123"/>
      <c r="P46" s="46"/>
      <c r="Q46" s="99"/>
      <c r="R46" s="101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81"/>
      <c r="K47" s="46"/>
      <c r="L47" s="19"/>
      <c r="M47" s="22"/>
      <c r="O47" s="123"/>
      <c r="P47" s="46"/>
      <c r="Q47" s="99"/>
      <c r="R47" s="101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50"/>
      <c r="L48" s="47"/>
      <c r="M48" s="6"/>
      <c r="O48" s="117"/>
      <c r="Q48" s="118"/>
      <c r="R48" s="96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161" t="s">
        <v>37</v>
      </c>
      <c r="K49" s="60"/>
      <c r="L49" s="82">
        <f>SUM(L39:L48)</f>
        <v>40000</v>
      </c>
      <c r="M49" s="6"/>
      <c r="O49" s="162" t="s">
        <v>37</v>
      </c>
      <c r="P49" s="60"/>
      <c r="Q49" s="125">
        <f>SUM(Q39:Q48)</f>
        <v>0</v>
      </c>
      <c r="R49" s="96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163" t="s">
        <v>38</v>
      </c>
      <c r="K50" s="37"/>
      <c r="L50" s="38"/>
      <c r="M50" s="83">
        <f>L38+L49</f>
        <v>81800</v>
      </c>
      <c r="O50" s="164" t="s">
        <v>38</v>
      </c>
      <c r="P50" s="37"/>
      <c r="Q50" s="38"/>
      <c r="R50" s="112">
        <f>Q38+Q49</f>
        <v>0</v>
      </c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165" t="s">
        <v>264</v>
      </c>
      <c r="K51" s="37"/>
      <c r="L51" s="38"/>
      <c r="M51" s="166">
        <f>M23-M50</f>
        <v>12500</v>
      </c>
      <c r="O51" s="126" t="s">
        <v>39</v>
      </c>
      <c r="P51" s="37"/>
      <c r="Q51" s="38"/>
      <c r="R51" s="96">
        <f>R23-R50</f>
        <v>0</v>
      </c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167" t="s">
        <v>265</v>
      </c>
      <c r="K52" s="37"/>
      <c r="L52" s="84"/>
      <c r="M52" s="168">
        <f>M24+M51</f>
        <v>12500</v>
      </c>
      <c r="N52" s="78"/>
      <c r="O52" s="127" t="s">
        <v>40</v>
      </c>
      <c r="P52" s="37"/>
      <c r="Q52" s="84"/>
      <c r="R52" s="128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169" t="s">
        <v>266</v>
      </c>
      <c r="K53" s="37"/>
      <c r="L53" s="84"/>
      <c r="M53" s="170"/>
      <c r="N53" s="78"/>
      <c r="O53" s="127" t="s">
        <v>56</v>
      </c>
      <c r="P53" s="37"/>
      <c r="Q53" s="84"/>
      <c r="R53" s="128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171" t="s">
        <v>255</v>
      </c>
      <c r="J59" s="70"/>
      <c r="K59" s="44" t="s">
        <v>3</v>
      </c>
      <c r="L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71" t="s">
        <v>42</v>
      </c>
      <c r="J60" s="29"/>
      <c r="K60" s="72"/>
      <c r="L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17"/>
      <c r="J61" s="4"/>
      <c r="K61" s="13">
        <v>66000.0</v>
      </c>
      <c r="L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5"/>
      <c r="J62" s="6"/>
      <c r="K62" s="12">
        <v>25000.0</v>
      </c>
      <c r="L62" s="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5"/>
      <c r="J63" s="6"/>
      <c r="K63" s="12">
        <v>10000.0</v>
      </c>
      <c r="L63" s="6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5"/>
      <c r="J64" s="6"/>
      <c r="K64" s="172">
        <v>5000.0</v>
      </c>
      <c r="L64" s="6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5"/>
      <c r="J65" s="6"/>
      <c r="K65" s="172">
        <v>5000.0</v>
      </c>
      <c r="L65" s="131">
        <v>100000.0</v>
      </c>
    </row>
    <row r="66" ht="14.25" customHeight="1">
      <c r="I66" s="5"/>
      <c r="J66" s="6"/>
      <c r="K66" s="183">
        <v>5000.0</v>
      </c>
      <c r="L66" s="91"/>
      <c r="M66" s="92"/>
    </row>
    <row r="67" ht="14.25" customHeight="1">
      <c r="I67" s="5"/>
      <c r="J67" s="6"/>
      <c r="K67" s="87"/>
      <c r="L67" s="91"/>
      <c r="M67" s="92"/>
    </row>
    <row r="68" ht="14.25" customHeight="1">
      <c r="I68" s="5"/>
      <c r="J68" s="6"/>
      <c r="K68" s="12"/>
    </row>
    <row r="69" ht="14.25" customHeight="1">
      <c r="I69" s="73" t="s">
        <v>43</v>
      </c>
      <c r="J69" s="38"/>
      <c r="K69" s="68">
        <f>SUM(K61:K66)-K67</f>
        <v>116000</v>
      </c>
      <c r="L69" s="6"/>
    </row>
    <row r="70" ht="14.25" customHeight="1">
      <c r="J70" s="6"/>
      <c r="K70" s="6"/>
      <c r="L70" s="6"/>
    </row>
    <row r="71" ht="14.25" customHeight="1">
      <c r="J71" s="6"/>
      <c r="K71" s="6"/>
      <c r="L71" s="6"/>
    </row>
    <row r="72" ht="14.25" customHeight="1">
      <c r="J72" s="6"/>
      <c r="K72" s="6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4"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  <mergeCell ref="O34:P34"/>
    <mergeCell ref="O35:P35"/>
    <mergeCell ref="O27:P27"/>
    <mergeCell ref="O28:P28"/>
    <mergeCell ref="O29:P29"/>
    <mergeCell ref="O30:P30"/>
    <mergeCell ref="O31:P31"/>
    <mergeCell ref="O32:P32"/>
    <mergeCell ref="O33:P33"/>
    <mergeCell ref="J38:K38"/>
    <mergeCell ref="J39:K39"/>
    <mergeCell ref="J40:K40"/>
    <mergeCell ref="J34:K34"/>
    <mergeCell ref="J35:K35"/>
    <mergeCell ref="J36:K36"/>
    <mergeCell ref="O36:P36"/>
    <mergeCell ref="J37:K37"/>
    <mergeCell ref="O37:P37"/>
    <mergeCell ref="O38:P38"/>
    <mergeCell ref="O45:P45"/>
    <mergeCell ref="O46:P46"/>
    <mergeCell ref="J42:K42"/>
    <mergeCell ref="J43:K43"/>
    <mergeCell ref="O43:P43"/>
    <mergeCell ref="J44:K44"/>
    <mergeCell ref="O44:P44"/>
    <mergeCell ref="J45:K45"/>
    <mergeCell ref="J46:K46"/>
    <mergeCell ref="J50:L50"/>
    <mergeCell ref="J51:L51"/>
    <mergeCell ref="J52:L52"/>
    <mergeCell ref="J53:L53"/>
    <mergeCell ref="I59:J59"/>
    <mergeCell ref="I60:K60"/>
    <mergeCell ref="I69:J69"/>
    <mergeCell ref="O51:Q51"/>
    <mergeCell ref="O52:Q52"/>
    <mergeCell ref="O53:Q53"/>
    <mergeCell ref="J47:K47"/>
    <mergeCell ref="O47:P47"/>
    <mergeCell ref="J48:K48"/>
    <mergeCell ref="O48:P48"/>
    <mergeCell ref="J49:K49"/>
    <mergeCell ref="O49:P49"/>
    <mergeCell ref="O50:Q50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J10:K10"/>
    <mergeCell ref="O10:P10"/>
    <mergeCell ref="D11:D13"/>
    <mergeCell ref="J11:K11"/>
    <mergeCell ref="O11:P11"/>
    <mergeCell ref="J12:L12"/>
    <mergeCell ref="B14:C14"/>
    <mergeCell ref="O14:P14"/>
    <mergeCell ref="J13:K13"/>
    <mergeCell ref="J14:K14"/>
    <mergeCell ref="J15:K15"/>
    <mergeCell ref="J16:K16"/>
    <mergeCell ref="J17:K17"/>
    <mergeCell ref="J18:K18"/>
    <mergeCell ref="J19:K19"/>
    <mergeCell ref="J20:L20"/>
    <mergeCell ref="J21:L21"/>
    <mergeCell ref="J22:L22"/>
    <mergeCell ref="J23:L23"/>
    <mergeCell ref="J24:L24"/>
    <mergeCell ref="J25:L25"/>
    <mergeCell ref="J26:K26"/>
    <mergeCell ref="J27:K27"/>
    <mergeCell ref="J28:K28"/>
    <mergeCell ref="J29:K29"/>
    <mergeCell ref="J30:K30"/>
    <mergeCell ref="J31:K31"/>
    <mergeCell ref="J32:K32"/>
    <mergeCell ref="J33:K33"/>
    <mergeCell ref="O39:P39"/>
    <mergeCell ref="O40:P40"/>
    <mergeCell ref="B41:B42"/>
    <mergeCell ref="C41:D42"/>
    <mergeCell ref="J41:K41"/>
    <mergeCell ref="O41:P41"/>
    <mergeCell ref="O42:P4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" width="15.43"/>
    <col customWidth="1" min="4" max="4" width="19.29"/>
    <col customWidth="1" min="5" max="9" width="8.71"/>
    <col customWidth="1" min="10" max="10" width="36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39" t="s">
        <v>57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140" t="s">
        <v>57</v>
      </c>
      <c r="K6" s="10"/>
      <c r="L6" s="11" t="s">
        <v>3</v>
      </c>
      <c r="M6" s="6"/>
      <c r="O6" s="141" t="s">
        <v>57</v>
      </c>
      <c r="P6" s="10"/>
      <c r="Q6" s="95" t="s">
        <v>3</v>
      </c>
      <c r="R6" s="9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  <c r="O7" s="97" t="s">
        <v>5</v>
      </c>
      <c r="P7" s="15"/>
      <c r="Q7" s="16"/>
      <c r="R7" s="96"/>
    </row>
    <row r="8" ht="14.25" customHeight="1">
      <c r="A8" s="5"/>
      <c r="B8" s="17"/>
      <c r="C8" s="17" t="s">
        <v>6</v>
      </c>
      <c r="D8" s="142">
        <v>0.0</v>
      </c>
      <c r="E8" s="6"/>
      <c r="F8" s="6"/>
      <c r="G8" s="6"/>
      <c r="H8" s="6"/>
      <c r="I8" s="6"/>
      <c r="J8" s="143" t="s">
        <v>267</v>
      </c>
      <c r="K8" s="98"/>
      <c r="L8" s="144"/>
      <c r="M8" s="6"/>
      <c r="O8" s="145" t="s">
        <v>267</v>
      </c>
      <c r="P8" s="98"/>
      <c r="Q8" s="177">
        <v>230000.0</v>
      </c>
      <c r="R8" s="9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22"/>
      <c r="L9" s="23"/>
      <c r="M9" s="6"/>
      <c r="O9" s="101"/>
      <c r="Q9" s="102"/>
      <c r="R9" s="96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22"/>
      <c r="L10" s="23"/>
      <c r="M10" s="6"/>
      <c r="O10" s="101"/>
      <c r="Q10" s="102"/>
      <c r="R10" s="96"/>
    </row>
    <row r="11" ht="14.25" customHeight="1">
      <c r="A11" s="5"/>
      <c r="B11" s="17"/>
      <c r="C11" s="18"/>
      <c r="D11" s="88">
        <v>40000.0</v>
      </c>
      <c r="E11" s="6"/>
      <c r="F11" s="6"/>
      <c r="G11" s="6"/>
      <c r="H11" s="6"/>
      <c r="I11" s="6"/>
      <c r="J11" s="103"/>
      <c r="K11" s="104"/>
      <c r="L11" s="23"/>
      <c r="M11" s="179">
        <v>28000.0</v>
      </c>
      <c r="O11" s="105"/>
      <c r="P11" s="104"/>
      <c r="Q11" s="102"/>
      <c r="R11" s="106">
        <f>SUM(Q8:Q11)</f>
        <v>230000</v>
      </c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8" t="s">
        <v>10</v>
      </c>
      <c r="K12" s="29"/>
      <c r="L12" s="30"/>
      <c r="M12" s="6"/>
      <c r="O12" s="107" t="s">
        <v>10</v>
      </c>
      <c r="P12" s="29"/>
      <c r="Q12" s="30"/>
      <c r="R12" s="96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43"/>
      <c r="K13" s="98"/>
      <c r="L13" s="144"/>
      <c r="M13" s="6"/>
      <c r="O13" s="145"/>
      <c r="P13" s="98"/>
      <c r="Q13" s="100"/>
      <c r="R13" s="96"/>
    </row>
    <row r="14" ht="14.25" customHeight="1">
      <c r="A14" s="5"/>
      <c r="B14" s="32" t="s">
        <v>11</v>
      </c>
      <c r="C14" s="33"/>
      <c r="D14" s="34">
        <f>SUM(D8:D13)</f>
        <v>140000</v>
      </c>
      <c r="E14" s="6"/>
      <c r="F14" s="6"/>
      <c r="G14" s="6"/>
      <c r="H14" s="6"/>
      <c r="I14" s="6"/>
      <c r="J14" s="132" t="s">
        <v>268</v>
      </c>
      <c r="L14" s="146"/>
      <c r="M14" s="6"/>
      <c r="O14" s="173" t="s">
        <v>269</v>
      </c>
      <c r="Q14" s="102"/>
      <c r="R14" s="9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132" t="s">
        <v>270</v>
      </c>
      <c r="L15" s="23"/>
      <c r="M15" s="6"/>
      <c r="O15" s="101"/>
      <c r="Q15" s="102"/>
      <c r="R15" s="9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L16" s="23"/>
      <c r="M16" s="6"/>
      <c r="O16" s="101"/>
      <c r="Q16" s="102"/>
      <c r="R16" s="96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22"/>
      <c r="L17" s="23"/>
      <c r="M17" s="6"/>
      <c r="O17" s="101"/>
      <c r="Q17" s="102"/>
      <c r="R17" s="96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101"/>
      <c r="Q18" s="102"/>
      <c r="R18" s="96"/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23"/>
      <c r="M19" s="179">
        <v>71000.0</v>
      </c>
      <c r="O19" s="101"/>
      <c r="Q19" s="102"/>
      <c r="R19" s="106">
        <f>SUM(Q13:Q18)</f>
        <v>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108"/>
      <c r="P20" s="76"/>
      <c r="Q20" s="77"/>
      <c r="R20" s="109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110"/>
      <c r="P21" s="37"/>
      <c r="Q21" s="38"/>
      <c r="R21" s="109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111"/>
      <c r="P22" s="37"/>
      <c r="Q22" s="38"/>
      <c r="R22" s="112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147" t="s">
        <v>12</v>
      </c>
      <c r="K23" s="86"/>
      <c r="L23" s="55"/>
      <c r="M23" s="148">
        <f>M11+M19</f>
        <v>99000</v>
      </c>
      <c r="N23" s="78"/>
      <c r="O23" s="113" t="s">
        <v>12</v>
      </c>
      <c r="P23" s="37"/>
      <c r="Q23" s="38"/>
      <c r="R23" s="114">
        <f>R11+R19</f>
        <v>230000</v>
      </c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49" t="s">
        <v>172</v>
      </c>
      <c r="K24" s="37"/>
      <c r="L24" s="38"/>
      <c r="M24" s="150"/>
      <c r="O24" s="101"/>
      <c r="Q24" s="115"/>
      <c r="R24" s="96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51" t="s">
        <v>173</v>
      </c>
      <c r="K25" s="37"/>
      <c r="L25" s="38"/>
      <c r="M25" s="152"/>
      <c r="O25" s="101"/>
      <c r="Q25" s="116"/>
      <c r="R25" s="96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5" t="s">
        <v>271</v>
      </c>
      <c r="L26" s="136">
        <v>3500.0</v>
      </c>
      <c r="M26" s="6"/>
      <c r="O26" s="101"/>
      <c r="Q26" s="116"/>
      <c r="R26" s="9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135" t="s">
        <v>272</v>
      </c>
      <c r="L27" s="134">
        <v>1000.0</v>
      </c>
      <c r="M27" s="6"/>
      <c r="O27" s="101"/>
      <c r="Q27" s="116"/>
      <c r="R27" s="96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135" t="s">
        <v>273</v>
      </c>
      <c r="L28" s="134">
        <v>2000.0</v>
      </c>
      <c r="M28" s="6"/>
      <c r="O28" s="117"/>
      <c r="P28" s="46"/>
      <c r="Q28" s="116"/>
      <c r="R28" s="96"/>
    </row>
    <row r="29" ht="14.25" customHeight="1">
      <c r="A29" s="6"/>
      <c r="B29" s="153" t="s">
        <v>57</v>
      </c>
      <c r="C29" s="8"/>
      <c r="D29" s="6"/>
      <c r="E29" s="6"/>
      <c r="F29" s="6"/>
      <c r="G29" s="6"/>
      <c r="H29" s="6"/>
      <c r="I29" s="6"/>
      <c r="J29" s="135" t="s">
        <v>274</v>
      </c>
      <c r="L29" s="134">
        <v>2000.0</v>
      </c>
      <c r="M29" s="6"/>
      <c r="O29" s="117"/>
      <c r="P29" s="46"/>
      <c r="Q29" s="116"/>
      <c r="R29" s="96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135" t="s">
        <v>275</v>
      </c>
      <c r="K30" s="46"/>
      <c r="L30" s="134">
        <v>500.0</v>
      </c>
      <c r="M30" s="6"/>
      <c r="O30" s="117"/>
      <c r="P30" s="46"/>
      <c r="Q30" s="116"/>
      <c r="R30" s="96"/>
    </row>
    <row r="31" ht="14.25" customHeight="1">
      <c r="A31" s="5"/>
      <c r="B31" s="25"/>
      <c r="C31" s="27" t="s">
        <v>3</v>
      </c>
      <c r="D31" s="154" t="s">
        <v>276</v>
      </c>
      <c r="E31" s="6"/>
      <c r="F31" s="6"/>
      <c r="G31" s="6"/>
      <c r="H31" s="6"/>
      <c r="I31" s="6"/>
      <c r="J31" s="135" t="s">
        <v>277</v>
      </c>
      <c r="K31" s="46"/>
      <c r="L31" s="134">
        <v>1000.0</v>
      </c>
      <c r="M31" s="6"/>
      <c r="O31" s="117"/>
      <c r="P31" s="46"/>
      <c r="Q31" s="116"/>
      <c r="R31" s="96"/>
    </row>
    <row r="32" ht="14.25" customHeight="1">
      <c r="A32" s="5"/>
      <c r="B32" s="24" t="s">
        <v>24</v>
      </c>
      <c r="C32" s="44">
        <v>41000.0</v>
      </c>
      <c r="D32" s="180" t="s">
        <v>25</v>
      </c>
      <c r="E32" s="6"/>
      <c r="F32" s="6"/>
      <c r="G32" s="6"/>
      <c r="H32" s="6"/>
      <c r="I32" s="6"/>
      <c r="J32" s="132" t="s">
        <v>278</v>
      </c>
      <c r="L32" s="134">
        <v>1000.0</v>
      </c>
      <c r="M32" s="6"/>
      <c r="O32" s="101"/>
      <c r="Q32" s="116"/>
      <c r="R32" s="96"/>
    </row>
    <row r="33" ht="14.25" customHeight="1">
      <c r="A33" s="6"/>
      <c r="B33" s="44" t="s">
        <v>26</v>
      </c>
      <c r="C33" s="44">
        <v>4000.0</v>
      </c>
      <c r="D33" s="180" t="s">
        <v>25</v>
      </c>
      <c r="E33" s="6"/>
      <c r="F33" s="6"/>
      <c r="G33" s="6"/>
      <c r="H33" s="6"/>
      <c r="I33" s="6"/>
      <c r="J33" s="132" t="s">
        <v>160</v>
      </c>
      <c r="L33" s="134">
        <v>1000.0</v>
      </c>
      <c r="M33" s="6"/>
      <c r="O33" s="101"/>
      <c r="Q33" s="116"/>
      <c r="R33" s="96"/>
    </row>
    <row r="34" ht="14.25" customHeight="1">
      <c r="A34" s="5"/>
      <c r="B34" s="44" t="s">
        <v>27</v>
      </c>
      <c r="C34" s="44">
        <v>1000.0</v>
      </c>
      <c r="D34" s="180" t="s">
        <v>25</v>
      </c>
      <c r="E34" s="6"/>
      <c r="F34" s="6"/>
      <c r="G34" s="6"/>
      <c r="H34" s="6"/>
      <c r="I34" s="6"/>
      <c r="J34" s="132" t="s">
        <v>279</v>
      </c>
      <c r="L34" s="134">
        <v>34500.0</v>
      </c>
      <c r="M34" s="6"/>
      <c r="O34" s="101"/>
      <c r="Q34" s="116"/>
      <c r="R34" s="96"/>
    </row>
    <row r="35" ht="14.25" customHeight="1">
      <c r="A35" s="5"/>
      <c r="B35" s="44" t="s">
        <v>29</v>
      </c>
      <c r="C35" s="157">
        <v>71000.0</v>
      </c>
      <c r="D35" s="180" t="s">
        <v>25</v>
      </c>
      <c r="E35" s="6"/>
      <c r="F35" s="6"/>
      <c r="G35" s="6"/>
      <c r="H35" s="6"/>
      <c r="I35" s="6"/>
      <c r="J35" s="22"/>
      <c r="L35" s="41"/>
      <c r="M35" s="6"/>
      <c r="O35" s="101"/>
      <c r="Q35" s="116"/>
      <c r="R35" s="96"/>
    </row>
    <row r="36" ht="14.25" customHeight="1">
      <c r="A36" s="5"/>
      <c r="B36" s="44" t="s">
        <v>31</v>
      </c>
      <c r="C36" s="44">
        <v>5000.0</v>
      </c>
      <c r="D36" s="180" t="s">
        <v>25</v>
      </c>
      <c r="E36" s="6"/>
      <c r="F36" s="6"/>
      <c r="G36" s="6"/>
      <c r="H36" s="6"/>
      <c r="I36" s="6"/>
      <c r="J36" s="22"/>
      <c r="L36" s="41"/>
      <c r="M36" s="6"/>
      <c r="O36" s="101"/>
      <c r="Q36" s="116"/>
      <c r="R36" s="96"/>
    </row>
    <row r="37" ht="14.25" customHeight="1">
      <c r="A37" s="5"/>
      <c r="B37" s="44" t="s">
        <v>33</v>
      </c>
      <c r="C37" s="157">
        <v>8000.0</v>
      </c>
      <c r="D37" s="180" t="s">
        <v>25</v>
      </c>
      <c r="E37" s="6"/>
      <c r="F37" s="6"/>
      <c r="G37" s="6"/>
      <c r="H37" s="6"/>
      <c r="I37" s="6"/>
      <c r="J37" s="22"/>
      <c r="K37" s="46"/>
      <c r="L37" s="47"/>
      <c r="M37" s="6"/>
      <c r="O37" s="101"/>
      <c r="P37" s="46"/>
      <c r="Q37" s="118"/>
      <c r="R37" s="96"/>
    </row>
    <row r="38" ht="14.25" customHeight="1">
      <c r="A38" s="5"/>
      <c r="B38" s="157" t="s">
        <v>181</v>
      </c>
      <c r="C38" s="157">
        <v>10000.0</v>
      </c>
      <c r="D38" s="155" t="s">
        <v>25</v>
      </c>
      <c r="E38" s="6"/>
      <c r="F38" s="6"/>
      <c r="G38" s="6"/>
      <c r="H38" s="6"/>
      <c r="I38" s="6"/>
      <c r="J38" s="158" t="s">
        <v>280</v>
      </c>
      <c r="K38" s="38"/>
      <c r="L38" s="49">
        <f>SUM(L24:L36)</f>
        <v>46500</v>
      </c>
      <c r="M38" s="6"/>
      <c r="O38" s="159" t="s">
        <v>280</v>
      </c>
      <c r="P38" s="38"/>
      <c r="Q38" s="120">
        <f>SUM(Q24:Q36)</f>
        <v>0</v>
      </c>
      <c r="R38" s="96"/>
    </row>
    <row r="39" ht="14.25" customHeight="1">
      <c r="A39" s="5"/>
      <c r="B39" s="157" t="s">
        <v>183</v>
      </c>
      <c r="C39" s="157">
        <v>0.0</v>
      </c>
      <c r="D39" s="155" t="s">
        <v>25</v>
      </c>
      <c r="E39" s="6"/>
      <c r="F39" s="6"/>
      <c r="G39" s="6"/>
      <c r="H39" s="6"/>
      <c r="I39" s="6"/>
      <c r="J39" s="135" t="s">
        <v>138</v>
      </c>
      <c r="L39" s="136">
        <v>47000.0</v>
      </c>
      <c r="M39" s="6"/>
      <c r="O39" s="117"/>
      <c r="Q39" s="121"/>
      <c r="R39" s="96"/>
    </row>
    <row r="40" ht="14.25" customHeight="1">
      <c r="A40" s="5"/>
      <c r="B40" s="18" t="s">
        <v>104</v>
      </c>
      <c r="C40" s="52">
        <v>0.0</v>
      </c>
      <c r="D40" s="155" t="s">
        <v>25</v>
      </c>
      <c r="E40" s="6"/>
      <c r="F40" s="6"/>
      <c r="G40" s="6"/>
      <c r="H40" s="6"/>
      <c r="I40" s="6"/>
      <c r="J40" s="135" t="s">
        <v>281</v>
      </c>
      <c r="L40" s="134">
        <v>1800.0</v>
      </c>
      <c r="M40" s="6"/>
      <c r="O40" s="117"/>
      <c r="Q40" s="116"/>
      <c r="R40" s="96"/>
    </row>
    <row r="41" ht="14.25" customHeight="1">
      <c r="A41" s="5"/>
      <c r="B41" s="53" t="s">
        <v>11</v>
      </c>
      <c r="C41" s="160">
        <f>SUM(C32:C40)</f>
        <v>140000</v>
      </c>
      <c r="D41" s="55"/>
      <c r="E41" s="6"/>
      <c r="F41" s="6"/>
      <c r="G41" s="6"/>
      <c r="H41" s="6"/>
      <c r="I41" s="6"/>
      <c r="J41" s="135" t="s">
        <v>282</v>
      </c>
      <c r="L41" s="134">
        <v>1000.0</v>
      </c>
      <c r="M41" s="6"/>
      <c r="O41" s="117"/>
      <c r="Q41" s="116"/>
      <c r="R41" s="96"/>
    </row>
    <row r="42" ht="14.25" customHeight="1">
      <c r="A42" s="5"/>
      <c r="B42" s="56"/>
      <c r="C42" s="57"/>
      <c r="D42" s="58"/>
      <c r="E42" s="6"/>
      <c r="F42" s="6"/>
      <c r="G42" s="6"/>
      <c r="H42" s="6"/>
      <c r="I42" s="6"/>
      <c r="J42" s="135"/>
      <c r="L42" s="134"/>
      <c r="M42" s="6"/>
      <c r="O42" s="117"/>
      <c r="Q42" s="116"/>
      <c r="R42" s="96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50"/>
      <c r="L43" s="41"/>
      <c r="M43" s="22"/>
      <c r="N43" s="6"/>
      <c r="O43" s="117"/>
      <c r="Q43" s="116"/>
      <c r="R43" s="101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50"/>
      <c r="L44" s="80"/>
      <c r="M44" s="22"/>
      <c r="N44" s="6"/>
      <c r="O44" s="117"/>
      <c r="Q44" s="122"/>
      <c r="R44" s="101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22"/>
      <c r="O45" s="117"/>
      <c r="Q45" s="116"/>
      <c r="R45" s="101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81"/>
      <c r="K46" s="46"/>
      <c r="L46" s="19"/>
      <c r="M46" s="22"/>
      <c r="O46" s="123"/>
      <c r="P46" s="46"/>
      <c r="Q46" s="99"/>
      <c r="R46" s="101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81"/>
      <c r="K47" s="46"/>
      <c r="L47" s="19"/>
      <c r="M47" s="22"/>
      <c r="O47" s="123"/>
      <c r="P47" s="46"/>
      <c r="Q47" s="99"/>
      <c r="R47" s="101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50"/>
      <c r="L48" s="47"/>
      <c r="M48" s="131"/>
      <c r="O48" s="117"/>
      <c r="Q48" s="118"/>
      <c r="R48" s="96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161" t="s">
        <v>283</v>
      </c>
      <c r="K49" s="60"/>
      <c r="L49" s="82">
        <f>SUM(L39:L48)</f>
        <v>49800</v>
      </c>
      <c r="M49" s="6"/>
      <c r="O49" s="162" t="s">
        <v>283</v>
      </c>
      <c r="P49" s="60"/>
      <c r="Q49" s="125">
        <f>SUM(Q39:Q48)</f>
        <v>0</v>
      </c>
      <c r="R49" s="96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163" t="s">
        <v>284</v>
      </c>
      <c r="K50" s="37"/>
      <c r="L50" s="38"/>
      <c r="M50" s="83">
        <f>L38+L49</f>
        <v>96300</v>
      </c>
      <c r="O50" s="164" t="s">
        <v>284</v>
      </c>
      <c r="P50" s="37"/>
      <c r="Q50" s="38"/>
      <c r="R50" s="112">
        <f>Q38+Q49</f>
        <v>0</v>
      </c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165" t="s">
        <v>285</v>
      </c>
      <c r="K51" s="37"/>
      <c r="L51" s="38"/>
      <c r="M51" s="166">
        <f>M23-M50</f>
        <v>2700</v>
      </c>
      <c r="O51" s="126" t="s">
        <v>39</v>
      </c>
      <c r="P51" s="37"/>
      <c r="Q51" s="38"/>
      <c r="R51" s="96">
        <f>R23-R50</f>
        <v>230000</v>
      </c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167" t="s">
        <v>286</v>
      </c>
      <c r="K52" s="37"/>
      <c r="L52" s="84"/>
      <c r="M52" s="168"/>
      <c r="N52" s="78"/>
      <c r="O52" s="127" t="s">
        <v>40</v>
      </c>
      <c r="P52" s="37"/>
      <c r="Q52" s="84"/>
      <c r="R52" s="128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169" t="s">
        <v>287</v>
      </c>
      <c r="K53" s="37"/>
      <c r="L53" s="84"/>
      <c r="M53" s="170"/>
      <c r="N53" s="78"/>
      <c r="O53" s="127" t="s">
        <v>56</v>
      </c>
      <c r="P53" s="37"/>
      <c r="Q53" s="84"/>
      <c r="R53" s="128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131" t="s">
        <v>253</v>
      </c>
      <c r="K54" s="131">
        <v>500000.0</v>
      </c>
      <c r="L54" s="6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131" t="s">
        <v>227</v>
      </c>
      <c r="K55" s="131">
        <v>180000.0</v>
      </c>
      <c r="L55" s="6"/>
      <c r="M55" s="6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6"/>
      <c r="K56" s="182">
        <f>K54+K55</f>
        <v>680000</v>
      </c>
      <c r="L56" s="6"/>
      <c r="M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171" t="s">
        <v>57</v>
      </c>
      <c r="J59" s="70"/>
      <c r="K59" s="44" t="s">
        <v>3</v>
      </c>
      <c r="L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71" t="s">
        <v>42</v>
      </c>
      <c r="J60" s="29"/>
      <c r="K60" s="72"/>
      <c r="L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17"/>
      <c r="J61" s="4"/>
      <c r="K61" s="13">
        <v>66000.0</v>
      </c>
      <c r="L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5"/>
      <c r="J62" s="6"/>
      <c r="K62" s="12">
        <v>25000.0</v>
      </c>
      <c r="L62" s="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5"/>
      <c r="J63" s="6"/>
      <c r="K63" s="12">
        <v>10000.0</v>
      </c>
      <c r="L63" s="6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5"/>
      <c r="J64" s="6"/>
      <c r="K64" s="172">
        <v>5000.0</v>
      </c>
      <c r="L64" s="6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5"/>
      <c r="J65" s="6"/>
      <c r="K65" s="172">
        <v>5000.0</v>
      </c>
      <c r="L65" s="6"/>
    </row>
    <row r="66" ht="14.25" customHeight="1">
      <c r="I66" s="5"/>
      <c r="J66" s="6"/>
      <c r="K66" s="183">
        <v>5000.0</v>
      </c>
      <c r="L66" s="91"/>
      <c r="M66" s="92"/>
    </row>
    <row r="67" ht="14.25" customHeight="1">
      <c r="I67" s="5"/>
      <c r="J67" s="6"/>
      <c r="K67" s="183">
        <v>5000.0</v>
      </c>
      <c r="L67" s="91"/>
      <c r="M67" s="92"/>
    </row>
    <row r="68" ht="14.25" customHeight="1">
      <c r="I68" s="5"/>
      <c r="J68" s="6"/>
      <c r="K68" s="172">
        <v>5000.0</v>
      </c>
    </row>
    <row r="69" ht="14.25" customHeight="1">
      <c r="I69" s="73" t="s">
        <v>43</v>
      </c>
      <c r="J69" s="38"/>
      <c r="K69" s="68">
        <f>SUM(K61:K68)</f>
        <v>126000</v>
      </c>
      <c r="L69" s="6"/>
    </row>
    <row r="70" ht="14.25" customHeight="1">
      <c r="J70" s="131" t="s">
        <v>288</v>
      </c>
      <c r="K70" s="131">
        <v>100000.0</v>
      </c>
      <c r="L70" s="6"/>
    </row>
    <row r="71" ht="14.25" customHeight="1">
      <c r="J71" s="131" t="s">
        <v>289</v>
      </c>
      <c r="K71" s="131">
        <v>26000.0</v>
      </c>
      <c r="L71" s="6"/>
    </row>
    <row r="72" ht="14.25" customHeight="1">
      <c r="J72" s="6"/>
      <c r="K72" s="6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4"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  <mergeCell ref="O34:P34"/>
    <mergeCell ref="O35:P35"/>
    <mergeCell ref="O27:P27"/>
    <mergeCell ref="O28:P28"/>
    <mergeCell ref="O29:P29"/>
    <mergeCell ref="O30:P30"/>
    <mergeCell ref="O31:P31"/>
    <mergeCell ref="O32:P32"/>
    <mergeCell ref="O33:P33"/>
    <mergeCell ref="J38:K38"/>
    <mergeCell ref="J39:K39"/>
    <mergeCell ref="J40:K40"/>
    <mergeCell ref="J34:K34"/>
    <mergeCell ref="J35:K35"/>
    <mergeCell ref="J36:K36"/>
    <mergeCell ref="O36:P36"/>
    <mergeCell ref="J37:K37"/>
    <mergeCell ref="O37:P37"/>
    <mergeCell ref="O38:P38"/>
    <mergeCell ref="O45:P45"/>
    <mergeCell ref="O46:P46"/>
    <mergeCell ref="J42:K42"/>
    <mergeCell ref="J43:K43"/>
    <mergeCell ref="O43:P43"/>
    <mergeCell ref="J44:K44"/>
    <mergeCell ref="O44:P44"/>
    <mergeCell ref="J45:K45"/>
    <mergeCell ref="J46:K46"/>
    <mergeCell ref="J50:L50"/>
    <mergeCell ref="J51:L51"/>
    <mergeCell ref="J52:L52"/>
    <mergeCell ref="J53:L53"/>
    <mergeCell ref="I59:J59"/>
    <mergeCell ref="I60:K60"/>
    <mergeCell ref="I69:J69"/>
    <mergeCell ref="O51:Q51"/>
    <mergeCell ref="O52:Q52"/>
    <mergeCell ref="O53:Q53"/>
    <mergeCell ref="J47:K47"/>
    <mergeCell ref="O47:P47"/>
    <mergeCell ref="J48:K48"/>
    <mergeCell ref="O48:P48"/>
    <mergeCell ref="J49:K49"/>
    <mergeCell ref="O49:P49"/>
    <mergeCell ref="O50:Q50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J10:K10"/>
    <mergeCell ref="O10:P10"/>
    <mergeCell ref="D11:D13"/>
    <mergeCell ref="J11:K11"/>
    <mergeCell ref="O11:P11"/>
    <mergeCell ref="J12:L12"/>
    <mergeCell ref="B14:C14"/>
    <mergeCell ref="O14:P14"/>
    <mergeCell ref="J13:K13"/>
    <mergeCell ref="J14:K14"/>
    <mergeCell ref="J15:K15"/>
    <mergeCell ref="J16:K16"/>
    <mergeCell ref="J17:K17"/>
    <mergeCell ref="J18:K18"/>
    <mergeCell ref="J19:K19"/>
    <mergeCell ref="J20:L20"/>
    <mergeCell ref="J21:L21"/>
    <mergeCell ref="J22:L22"/>
    <mergeCell ref="J23:L23"/>
    <mergeCell ref="J24:L24"/>
    <mergeCell ref="J25:L25"/>
    <mergeCell ref="J26:K26"/>
    <mergeCell ref="J27:K27"/>
    <mergeCell ref="J28:K28"/>
    <mergeCell ref="J29:K29"/>
    <mergeCell ref="J30:K30"/>
    <mergeCell ref="J31:K31"/>
    <mergeCell ref="J32:K32"/>
    <mergeCell ref="J33:K33"/>
    <mergeCell ref="O39:P39"/>
    <mergeCell ref="O40:P40"/>
    <mergeCell ref="B41:B42"/>
    <mergeCell ref="C41:D42"/>
    <mergeCell ref="J41:K41"/>
    <mergeCell ref="O41:P41"/>
    <mergeCell ref="O42:P42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" width="15.43"/>
    <col customWidth="1" min="4" max="4" width="19.29"/>
    <col customWidth="1" min="5" max="9" width="8.71"/>
    <col customWidth="1" min="10" max="10" width="36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39" t="s">
        <v>73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140" t="s">
        <v>57</v>
      </c>
      <c r="K6" s="10"/>
      <c r="L6" s="11" t="s">
        <v>3</v>
      </c>
      <c r="M6" s="6"/>
      <c r="O6" s="141" t="s">
        <v>73</v>
      </c>
      <c r="P6" s="10"/>
      <c r="Q6" s="95" t="s">
        <v>3</v>
      </c>
      <c r="R6" s="9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  <c r="O7" s="97" t="s">
        <v>5</v>
      </c>
      <c r="P7" s="15"/>
      <c r="Q7" s="16"/>
      <c r="R7" s="96"/>
    </row>
    <row r="8" ht="14.25" customHeight="1">
      <c r="A8" s="5"/>
      <c r="B8" s="17"/>
      <c r="C8" s="17" t="s">
        <v>6</v>
      </c>
      <c r="D8" s="142">
        <v>0.0</v>
      </c>
      <c r="E8" s="6"/>
      <c r="F8" s="6"/>
      <c r="G8" s="6"/>
      <c r="H8" s="6"/>
      <c r="I8" s="6"/>
      <c r="J8" s="143" t="s">
        <v>290</v>
      </c>
      <c r="K8" s="98"/>
      <c r="L8" s="144">
        <v>2700.0</v>
      </c>
      <c r="M8" s="6"/>
      <c r="O8" s="145" t="s">
        <v>290</v>
      </c>
      <c r="P8" s="98"/>
      <c r="Q8" s="177">
        <v>230000.0</v>
      </c>
      <c r="R8" s="9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132" t="s">
        <v>291</v>
      </c>
      <c r="L9" s="146">
        <v>6750.0</v>
      </c>
      <c r="M9" s="6"/>
      <c r="O9" s="101"/>
      <c r="Q9" s="102"/>
      <c r="R9" s="96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22"/>
      <c r="L10" s="23"/>
      <c r="M10" s="6"/>
      <c r="O10" s="101"/>
      <c r="Q10" s="102"/>
      <c r="R10" s="96"/>
    </row>
    <row r="11" ht="14.25" customHeight="1">
      <c r="A11" s="5"/>
      <c r="B11" s="17"/>
      <c r="C11" s="18"/>
      <c r="D11" s="88">
        <v>40000.0</v>
      </c>
      <c r="E11" s="6"/>
      <c r="F11" s="6"/>
      <c r="G11" s="6"/>
      <c r="H11" s="6"/>
      <c r="I11" s="6"/>
      <c r="J11" s="103"/>
      <c r="K11" s="104"/>
      <c r="L11" s="23"/>
      <c r="M11" s="179">
        <f>L8+L9</f>
        <v>9450</v>
      </c>
      <c r="O11" s="105"/>
      <c r="P11" s="104"/>
      <c r="Q11" s="102"/>
      <c r="R11" s="106">
        <f>SUM(Q8:Q11)</f>
        <v>230000</v>
      </c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8" t="s">
        <v>10</v>
      </c>
      <c r="K12" s="29"/>
      <c r="L12" s="30"/>
      <c r="M12" s="6"/>
      <c r="O12" s="107" t="s">
        <v>10</v>
      </c>
      <c r="P12" s="29"/>
      <c r="Q12" s="30"/>
      <c r="R12" s="96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43"/>
      <c r="K13" s="98"/>
      <c r="L13" s="144"/>
      <c r="M13" s="6"/>
      <c r="O13" s="145"/>
      <c r="P13" s="98"/>
      <c r="Q13" s="100"/>
      <c r="R13" s="96"/>
    </row>
    <row r="14" ht="14.25" customHeight="1">
      <c r="A14" s="5"/>
      <c r="B14" s="32" t="s">
        <v>11</v>
      </c>
      <c r="C14" s="33"/>
      <c r="D14" s="34">
        <f>SUM(D8:D13)</f>
        <v>140000</v>
      </c>
      <c r="E14" s="6"/>
      <c r="F14" s="6"/>
      <c r="G14" s="6"/>
      <c r="H14" s="6"/>
      <c r="I14" s="6"/>
      <c r="J14" s="132" t="s">
        <v>292</v>
      </c>
      <c r="L14" s="146">
        <v>60000.0</v>
      </c>
      <c r="M14" s="6"/>
      <c r="O14" s="173" t="s">
        <v>293</v>
      </c>
      <c r="Q14" s="102"/>
      <c r="R14" s="9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132" t="s">
        <v>294</v>
      </c>
      <c r="L15" s="23"/>
      <c r="M15" s="6"/>
      <c r="O15" s="101"/>
      <c r="Q15" s="102"/>
      <c r="R15" s="9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L16" s="23"/>
      <c r="M16" s="6"/>
      <c r="O16" s="101"/>
      <c r="Q16" s="102"/>
      <c r="R16" s="96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22"/>
      <c r="L17" s="23"/>
      <c r="M17" s="6"/>
      <c r="O17" s="101"/>
      <c r="Q17" s="102"/>
      <c r="R17" s="96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101"/>
      <c r="Q18" s="102"/>
      <c r="R18" s="96"/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23"/>
      <c r="M19" s="26">
        <f>SUM(L13:L18)</f>
        <v>60000</v>
      </c>
      <c r="O19" s="101"/>
      <c r="Q19" s="102"/>
      <c r="R19" s="106">
        <f>SUM(Q13:Q18)</f>
        <v>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108"/>
      <c r="P20" s="76"/>
      <c r="Q20" s="77"/>
      <c r="R20" s="109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110"/>
      <c r="P21" s="37"/>
      <c r="Q21" s="38"/>
      <c r="R21" s="109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111"/>
      <c r="P22" s="37"/>
      <c r="Q22" s="38"/>
      <c r="R22" s="112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147" t="s">
        <v>12</v>
      </c>
      <c r="K23" s="86"/>
      <c r="L23" s="55"/>
      <c r="M23" s="148">
        <f>M11+M19</f>
        <v>69450</v>
      </c>
      <c r="N23" s="78"/>
      <c r="O23" s="113" t="s">
        <v>12</v>
      </c>
      <c r="P23" s="37"/>
      <c r="Q23" s="38"/>
      <c r="R23" s="114">
        <f>R11+R19</f>
        <v>230000</v>
      </c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49" t="s">
        <v>172</v>
      </c>
      <c r="K24" s="37"/>
      <c r="L24" s="38"/>
      <c r="M24" s="150"/>
      <c r="O24" s="101"/>
      <c r="Q24" s="115"/>
      <c r="R24" s="96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51" t="s">
        <v>173</v>
      </c>
      <c r="K25" s="37"/>
      <c r="L25" s="38"/>
      <c r="M25" s="152"/>
      <c r="O25" s="101"/>
      <c r="Q25" s="116"/>
      <c r="R25" s="96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5" t="s">
        <v>295</v>
      </c>
      <c r="L26" s="136">
        <v>2000.0</v>
      </c>
      <c r="M26" s="6"/>
      <c r="O26" s="101"/>
      <c r="Q26" s="116"/>
      <c r="R26" s="9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135" t="s">
        <v>296</v>
      </c>
      <c r="L27" s="134">
        <v>750.0</v>
      </c>
      <c r="M27" s="6"/>
      <c r="O27" s="101"/>
      <c r="Q27" s="116"/>
      <c r="R27" s="96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135" t="s">
        <v>297</v>
      </c>
      <c r="L28" s="134">
        <v>800.0</v>
      </c>
      <c r="M28" s="6"/>
      <c r="O28" s="117"/>
      <c r="P28" s="46"/>
      <c r="Q28" s="116"/>
      <c r="R28" s="96"/>
    </row>
    <row r="29" ht="14.25" customHeight="1">
      <c r="A29" s="6"/>
      <c r="B29" s="153" t="s">
        <v>73</v>
      </c>
      <c r="C29" s="8"/>
      <c r="D29" s="6"/>
      <c r="E29" s="6"/>
      <c r="F29" s="6"/>
      <c r="G29" s="6"/>
      <c r="H29" s="6"/>
      <c r="I29" s="6"/>
      <c r="J29" s="135" t="s">
        <v>298</v>
      </c>
      <c r="L29" s="134">
        <v>3200.0</v>
      </c>
      <c r="M29" s="6"/>
      <c r="O29" s="117"/>
      <c r="P29" s="46"/>
      <c r="Q29" s="116"/>
      <c r="R29" s="96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135" t="s">
        <v>299</v>
      </c>
      <c r="K30" s="46"/>
      <c r="L30" s="134">
        <v>1800.0</v>
      </c>
      <c r="M30" s="6"/>
      <c r="O30" s="117"/>
      <c r="P30" s="46"/>
      <c r="Q30" s="116"/>
      <c r="R30" s="96"/>
    </row>
    <row r="31" ht="14.25" customHeight="1">
      <c r="A31" s="5"/>
      <c r="B31" s="25"/>
      <c r="C31" s="27" t="s">
        <v>3</v>
      </c>
      <c r="D31" s="154" t="s">
        <v>300</v>
      </c>
      <c r="E31" s="6"/>
      <c r="F31" s="6"/>
      <c r="G31" s="6"/>
      <c r="H31" s="6"/>
      <c r="I31" s="6"/>
      <c r="J31" s="135" t="s">
        <v>301</v>
      </c>
      <c r="K31" s="46"/>
      <c r="L31" s="134">
        <v>900.0</v>
      </c>
      <c r="M31" s="6"/>
      <c r="O31" s="117"/>
      <c r="P31" s="46"/>
      <c r="Q31" s="116"/>
      <c r="R31" s="96"/>
    </row>
    <row r="32" ht="14.25" customHeight="1">
      <c r="A32" s="5"/>
      <c r="B32" s="24" t="s">
        <v>24</v>
      </c>
      <c r="C32" s="44">
        <v>41000.0</v>
      </c>
      <c r="D32" s="180" t="s">
        <v>25</v>
      </c>
      <c r="E32" s="6"/>
      <c r="F32" s="6"/>
      <c r="G32" s="6"/>
      <c r="H32" s="6"/>
      <c r="I32" s="6"/>
      <c r="J32" s="22"/>
      <c r="L32" s="41"/>
      <c r="M32" s="6"/>
      <c r="O32" s="101"/>
      <c r="Q32" s="116"/>
      <c r="R32" s="96"/>
    </row>
    <row r="33" ht="14.25" customHeight="1">
      <c r="A33" s="6"/>
      <c r="B33" s="44" t="s">
        <v>26</v>
      </c>
      <c r="C33" s="44">
        <v>4000.0</v>
      </c>
      <c r="D33" s="180" t="s">
        <v>25</v>
      </c>
      <c r="E33" s="6"/>
      <c r="F33" s="6"/>
      <c r="G33" s="6"/>
      <c r="H33" s="6"/>
      <c r="I33" s="6"/>
      <c r="J33" s="22"/>
      <c r="L33" s="41"/>
      <c r="M33" s="6"/>
      <c r="O33" s="101"/>
      <c r="Q33" s="116"/>
      <c r="R33" s="96"/>
    </row>
    <row r="34" ht="14.25" customHeight="1">
      <c r="A34" s="5"/>
      <c r="B34" s="44" t="s">
        <v>27</v>
      </c>
      <c r="C34" s="44">
        <v>1000.0</v>
      </c>
      <c r="D34" s="156" t="s">
        <v>25</v>
      </c>
      <c r="E34" s="6"/>
      <c r="F34" s="6"/>
      <c r="G34" s="6"/>
      <c r="H34" s="6"/>
      <c r="I34" s="6"/>
      <c r="J34" s="22"/>
      <c r="L34" s="41"/>
      <c r="M34" s="6"/>
      <c r="O34" s="101"/>
      <c r="Q34" s="116"/>
      <c r="R34" s="96"/>
    </row>
    <row r="35" ht="14.25" customHeight="1">
      <c r="A35" s="5"/>
      <c r="B35" s="44" t="s">
        <v>29</v>
      </c>
      <c r="C35" s="157">
        <v>60000.0</v>
      </c>
      <c r="D35" s="156" t="s">
        <v>25</v>
      </c>
      <c r="E35" s="6"/>
      <c r="F35" s="6"/>
      <c r="G35" s="6"/>
      <c r="H35" s="6"/>
      <c r="I35" s="6"/>
      <c r="J35" s="22"/>
      <c r="L35" s="41"/>
      <c r="M35" s="6"/>
      <c r="O35" s="101"/>
      <c r="Q35" s="116"/>
      <c r="R35" s="96"/>
    </row>
    <row r="36" ht="14.25" customHeight="1">
      <c r="A36" s="5"/>
      <c r="B36" s="44" t="s">
        <v>31</v>
      </c>
      <c r="C36" s="44">
        <v>5000.0</v>
      </c>
      <c r="D36" s="184" t="s">
        <v>25</v>
      </c>
      <c r="E36" s="6"/>
      <c r="F36" s="6"/>
      <c r="G36" s="6"/>
      <c r="H36" s="6"/>
      <c r="I36" s="6"/>
      <c r="J36" s="22"/>
      <c r="L36" s="41"/>
      <c r="M36" s="6"/>
      <c r="O36" s="101"/>
      <c r="Q36" s="116"/>
      <c r="R36" s="96"/>
    </row>
    <row r="37" ht="14.25" customHeight="1">
      <c r="A37" s="5"/>
      <c r="B37" s="44" t="s">
        <v>33</v>
      </c>
      <c r="C37" s="157">
        <v>7000.0</v>
      </c>
      <c r="D37" s="156" t="s">
        <v>25</v>
      </c>
      <c r="E37" s="6"/>
      <c r="F37" s="6"/>
      <c r="G37" s="6"/>
      <c r="H37" s="6"/>
      <c r="I37" s="6"/>
      <c r="J37" s="22"/>
      <c r="K37" s="46"/>
      <c r="L37" s="47"/>
      <c r="M37" s="6"/>
      <c r="O37" s="101"/>
      <c r="P37" s="46"/>
      <c r="Q37" s="118"/>
      <c r="R37" s="96"/>
    </row>
    <row r="38" ht="14.25" customHeight="1">
      <c r="A38" s="5"/>
      <c r="B38" s="157" t="s">
        <v>181</v>
      </c>
      <c r="C38" s="157">
        <v>10000.0</v>
      </c>
      <c r="D38" s="156" t="s">
        <v>25</v>
      </c>
      <c r="E38" s="6"/>
      <c r="F38" s="6"/>
      <c r="G38" s="6"/>
      <c r="H38" s="6"/>
      <c r="I38" s="6"/>
      <c r="J38" s="158" t="s">
        <v>88</v>
      </c>
      <c r="K38" s="38"/>
      <c r="L38" s="49">
        <f>SUM(L24:L36)</f>
        <v>9450</v>
      </c>
      <c r="M38" s="6"/>
      <c r="O38" s="159" t="s">
        <v>302</v>
      </c>
      <c r="P38" s="38"/>
      <c r="Q38" s="120">
        <f>SUM(Q24:Q36)</f>
        <v>0</v>
      </c>
      <c r="R38" s="96"/>
    </row>
    <row r="39" ht="14.25" customHeight="1">
      <c r="A39" s="5"/>
      <c r="B39" s="157" t="s">
        <v>183</v>
      </c>
      <c r="C39" s="157">
        <v>12000.0</v>
      </c>
      <c r="D39" s="184" t="s">
        <v>25</v>
      </c>
      <c r="E39" s="6"/>
      <c r="F39" s="6"/>
      <c r="G39" s="6"/>
      <c r="H39" s="6"/>
      <c r="I39" s="6"/>
      <c r="J39" s="135" t="s">
        <v>303</v>
      </c>
      <c r="L39" s="136">
        <v>4800.0</v>
      </c>
      <c r="M39" s="6"/>
      <c r="O39" s="137" t="s">
        <v>304</v>
      </c>
      <c r="Q39" s="138">
        <v>50000.0</v>
      </c>
      <c r="R39" s="96"/>
    </row>
    <row r="40" ht="14.25" customHeight="1">
      <c r="A40" s="5"/>
      <c r="B40" s="18" t="s">
        <v>104</v>
      </c>
      <c r="C40" s="18">
        <v>0.0</v>
      </c>
      <c r="D40" s="184" t="s">
        <v>25</v>
      </c>
      <c r="E40" s="6"/>
      <c r="F40" s="6"/>
      <c r="G40" s="6"/>
      <c r="H40" s="6"/>
      <c r="I40" s="6"/>
      <c r="J40" s="135" t="s">
        <v>305</v>
      </c>
      <c r="L40" s="134">
        <v>3000.0</v>
      </c>
      <c r="M40" s="6"/>
      <c r="O40" s="137" t="s">
        <v>306</v>
      </c>
      <c r="Q40" s="185">
        <v>30000.0</v>
      </c>
      <c r="R40" s="96"/>
    </row>
    <row r="41" ht="14.25" customHeight="1">
      <c r="A41" s="5"/>
      <c r="B41" s="157"/>
      <c r="C41" s="44"/>
      <c r="D41" s="156"/>
      <c r="E41" s="6"/>
      <c r="F41" s="6"/>
      <c r="G41" s="6"/>
      <c r="H41" s="6"/>
      <c r="I41" s="6"/>
      <c r="J41" s="135"/>
      <c r="K41" s="46"/>
      <c r="L41" s="186"/>
      <c r="M41" s="6"/>
      <c r="O41" s="117"/>
      <c r="Q41" s="116"/>
      <c r="R41" s="96"/>
    </row>
    <row r="42" ht="14.25" customHeight="1">
      <c r="A42" s="5"/>
      <c r="B42" s="187"/>
      <c r="C42" s="52"/>
      <c r="D42" s="188"/>
      <c r="E42" s="6"/>
      <c r="F42" s="6"/>
      <c r="G42" s="6"/>
      <c r="H42" s="6"/>
      <c r="I42" s="6"/>
      <c r="J42" s="135"/>
      <c r="K42" s="46"/>
      <c r="L42" s="186"/>
      <c r="M42" s="6"/>
      <c r="O42" s="117"/>
      <c r="Q42" s="116"/>
      <c r="R42" s="96"/>
    </row>
    <row r="43" ht="14.25" customHeight="1">
      <c r="A43" s="5"/>
      <c r="B43" s="189" t="s">
        <v>11</v>
      </c>
      <c r="C43" s="190">
        <f>SUM(C32:C40)</f>
        <v>140000</v>
      </c>
      <c r="D43" s="46"/>
      <c r="E43" s="6"/>
      <c r="F43" s="6"/>
      <c r="G43" s="6"/>
      <c r="H43" s="6"/>
      <c r="I43" s="6"/>
      <c r="J43" s="135"/>
      <c r="L43" s="134"/>
      <c r="M43" s="6"/>
      <c r="O43" s="117"/>
      <c r="Q43" s="116"/>
      <c r="R43" s="96"/>
    </row>
    <row r="44" ht="14.25" customHeight="1">
      <c r="A44" s="5"/>
      <c r="B44" s="56"/>
      <c r="C44" s="57"/>
      <c r="D44" s="58"/>
      <c r="E44" s="6"/>
      <c r="F44" s="6"/>
      <c r="G44" s="6"/>
      <c r="H44" s="6"/>
      <c r="I44" s="6"/>
      <c r="J44" s="135"/>
      <c r="L44" s="134"/>
      <c r="M44" s="6"/>
      <c r="O44" s="117"/>
      <c r="Q44" s="116"/>
      <c r="R44" s="96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22"/>
      <c r="N45" s="6"/>
      <c r="O45" s="117"/>
      <c r="Q45" s="116"/>
      <c r="R45" s="101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50"/>
      <c r="L46" s="80"/>
      <c r="M46" s="22"/>
      <c r="N46" s="6"/>
      <c r="O46" s="117"/>
      <c r="Q46" s="122"/>
      <c r="R46" s="101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50"/>
      <c r="L47" s="41"/>
      <c r="M47" s="22"/>
      <c r="O47" s="117"/>
      <c r="Q47" s="116"/>
      <c r="R47" s="101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81"/>
      <c r="K48" s="46"/>
      <c r="L48" s="19"/>
      <c r="M48" s="22"/>
      <c r="O48" s="123"/>
      <c r="P48" s="46"/>
      <c r="Q48" s="99"/>
      <c r="R48" s="101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81"/>
      <c r="K49" s="46"/>
      <c r="L49" s="19"/>
      <c r="M49" s="22"/>
      <c r="O49" s="123"/>
      <c r="P49" s="46"/>
      <c r="Q49" s="99"/>
      <c r="R49" s="101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50"/>
      <c r="L50" s="47"/>
      <c r="M50" s="6"/>
      <c r="O50" s="117"/>
      <c r="Q50" s="118"/>
      <c r="R50" s="96"/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161" t="s">
        <v>307</v>
      </c>
      <c r="K51" s="60"/>
      <c r="L51" s="82">
        <f>SUM(L39:L50)</f>
        <v>7800</v>
      </c>
      <c r="M51" s="6"/>
      <c r="O51" s="162" t="s">
        <v>307</v>
      </c>
      <c r="P51" s="60"/>
      <c r="Q51" s="125">
        <f>SUM(Q39:Q50)</f>
        <v>80000</v>
      </c>
      <c r="R51" s="96"/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163" t="s">
        <v>308</v>
      </c>
      <c r="K52" s="37"/>
      <c r="L52" s="38"/>
      <c r="M52" s="83">
        <f>L38+L51</f>
        <v>17250</v>
      </c>
      <c r="O52" s="164" t="s">
        <v>308</v>
      </c>
      <c r="P52" s="37"/>
      <c r="Q52" s="38"/>
      <c r="R52" s="112">
        <f>Q38+Q51</f>
        <v>80000</v>
      </c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165" t="s">
        <v>309</v>
      </c>
      <c r="K53" s="37"/>
      <c r="L53" s="38"/>
      <c r="M53" s="166">
        <f>M23-M52</f>
        <v>52200</v>
      </c>
      <c r="O53" s="126" t="s">
        <v>39</v>
      </c>
      <c r="P53" s="37"/>
      <c r="Q53" s="38"/>
      <c r="R53" s="96">
        <f>R23-R52</f>
        <v>150000</v>
      </c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167" t="s">
        <v>310</v>
      </c>
      <c r="K54" s="37"/>
      <c r="L54" s="84"/>
      <c r="M54" s="168"/>
      <c r="N54" s="78"/>
      <c r="O54" s="127" t="s">
        <v>40</v>
      </c>
      <c r="P54" s="37"/>
      <c r="Q54" s="84"/>
      <c r="R54" s="128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169" t="s">
        <v>311</v>
      </c>
      <c r="K55" s="37"/>
      <c r="L55" s="84"/>
      <c r="M55" s="170"/>
      <c r="N55" s="78"/>
      <c r="O55" s="127" t="s">
        <v>56</v>
      </c>
      <c r="P55" s="37"/>
      <c r="Q55" s="84"/>
      <c r="R55" s="128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131" t="s">
        <v>253</v>
      </c>
      <c r="K56" s="131">
        <v>500000.0</v>
      </c>
      <c r="L56" s="6"/>
      <c r="M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131" t="s">
        <v>227</v>
      </c>
      <c r="K57" s="131">
        <v>238000.0</v>
      </c>
      <c r="L57" s="6"/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182">
        <f>K56+K57</f>
        <v>738000</v>
      </c>
      <c r="L58" s="6"/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171" t="s">
        <v>57</v>
      </c>
      <c r="J61" s="70"/>
      <c r="K61" s="44" t="s">
        <v>3</v>
      </c>
      <c r="L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71" t="s">
        <v>42</v>
      </c>
      <c r="J62" s="29"/>
      <c r="K62" s="72"/>
      <c r="L62" s="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17"/>
      <c r="J63" s="4"/>
      <c r="K63" s="191">
        <v>100000.0</v>
      </c>
      <c r="L63" s="6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5"/>
      <c r="J64" s="6"/>
      <c r="K64" s="172">
        <v>26000.0</v>
      </c>
      <c r="L64" s="6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5"/>
      <c r="J65" s="6"/>
      <c r="K65" s="172">
        <v>5000.0</v>
      </c>
      <c r="L65" s="6"/>
    </row>
    <row r="66" ht="14.25" customHeight="1">
      <c r="A66" s="5"/>
      <c r="B66" s="6"/>
      <c r="C66" s="6"/>
      <c r="D66" s="6"/>
      <c r="E66" s="6"/>
      <c r="F66" s="6"/>
      <c r="G66" s="6"/>
      <c r="H66" s="6"/>
      <c r="I66" s="5"/>
      <c r="J66" s="6"/>
      <c r="K66" s="172"/>
      <c r="L66" s="6"/>
    </row>
    <row r="67" ht="14.25" customHeight="1">
      <c r="A67" s="5"/>
      <c r="B67" s="6"/>
      <c r="C67" s="6"/>
      <c r="D67" s="6"/>
      <c r="E67" s="6"/>
      <c r="F67" s="6"/>
      <c r="G67" s="6"/>
      <c r="H67" s="6"/>
      <c r="I67" s="5"/>
      <c r="J67" s="6"/>
      <c r="K67" s="172"/>
      <c r="L67" s="6"/>
    </row>
    <row r="68" ht="14.25" customHeight="1">
      <c r="I68" s="5"/>
      <c r="J68" s="6"/>
      <c r="K68" s="183"/>
      <c r="L68" s="91"/>
      <c r="M68" s="92"/>
    </row>
    <row r="69" ht="14.25" customHeight="1">
      <c r="I69" s="5"/>
      <c r="J69" s="6"/>
      <c r="K69" s="183"/>
      <c r="L69" s="91"/>
      <c r="M69" s="92"/>
    </row>
    <row r="70" ht="14.25" customHeight="1">
      <c r="I70" s="5"/>
      <c r="J70" s="6"/>
      <c r="K70" s="172"/>
    </row>
    <row r="71" ht="14.25" customHeight="1">
      <c r="I71" s="73" t="s">
        <v>43</v>
      </c>
      <c r="J71" s="38"/>
      <c r="K71" s="68">
        <f>SUM(K63:K70)</f>
        <v>131000</v>
      </c>
      <c r="L71" s="6"/>
    </row>
    <row r="72" ht="14.25" customHeight="1">
      <c r="J72" s="131" t="s">
        <v>288</v>
      </c>
      <c r="K72" s="131">
        <v>100000.0</v>
      </c>
      <c r="L72" s="6"/>
    </row>
    <row r="73" ht="14.25" customHeight="1">
      <c r="J73" s="131" t="s">
        <v>289</v>
      </c>
      <c r="K73" s="131">
        <f>SUM(K64:K70)</f>
        <v>31000</v>
      </c>
      <c r="L73" s="6"/>
    </row>
    <row r="74" ht="14.25" customHeight="1">
      <c r="J74" s="6"/>
      <c r="K74" s="6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08"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  <mergeCell ref="O34:P34"/>
    <mergeCell ref="O35:P35"/>
    <mergeCell ref="O27:P27"/>
    <mergeCell ref="O28:P28"/>
    <mergeCell ref="O29:P29"/>
    <mergeCell ref="O30:P30"/>
    <mergeCell ref="O31:P31"/>
    <mergeCell ref="O32:P32"/>
    <mergeCell ref="O33:P33"/>
    <mergeCell ref="J38:K38"/>
    <mergeCell ref="J39:K39"/>
    <mergeCell ref="J40:K40"/>
    <mergeCell ref="J41:K41"/>
    <mergeCell ref="O41:P41"/>
    <mergeCell ref="J42:K42"/>
    <mergeCell ref="O42:P42"/>
    <mergeCell ref="J34:K34"/>
    <mergeCell ref="J35:K35"/>
    <mergeCell ref="J36:K36"/>
    <mergeCell ref="O36:P36"/>
    <mergeCell ref="J37:K37"/>
    <mergeCell ref="O37:P37"/>
    <mergeCell ref="O38:P38"/>
    <mergeCell ref="O47:P47"/>
    <mergeCell ref="O48:P48"/>
    <mergeCell ref="J44:K44"/>
    <mergeCell ref="J45:K45"/>
    <mergeCell ref="O45:P45"/>
    <mergeCell ref="J46:K46"/>
    <mergeCell ref="O46:P46"/>
    <mergeCell ref="J47:K47"/>
    <mergeCell ref="J48:K48"/>
    <mergeCell ref="J52:L52"/>
    <mergeCell ref="J53:L53"/>
    <mergeCell ref="J54:L54"/>
    <mergeCell ref="J55:L55"/>
    <mergeCell ref="I61:J61"/>
    <mergeCell ref="I62:K62"/>
    <mergeCell ref="I71:J71"/>
    <mergeCell ref="O53:Q53"/>
    <mergeCell ref="O54:Q54"/>
    <mergeCell ref="O55:Q55"/>
    <mergeCell ref="J49:K49"/>
    <mergeCell ref="O49:P49"/>
    <mergeCell ref="J50:K50"/>
    <mergeCell ref="O50:P50"/>
    <mergeCell ref="J51:K51"/>
    <mergeCell ref="O51:P51"/>
    <mergeCell ref="O52:Q52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J10:K10"/>
    <mergeCell ref="O10:P10"/>
    <mergeCell ref="D11:D13"/>
    <mergeCell ref="J11:K11"/>
    <mergeCell ref="O11:P11"/>
    <mergeCell ref="J12:L12"/>
    <mergeCell ref="B14:C14"/>
    <mergeCell ref="O14:P14"/>
    <mergeCell ref="J13:K13"/>
    <mergeCell ref="J14:K14"/>
    <mergeCell ref="J15:K15"/>
    <mergeCell ref="J16:K16"/>
    <mergeCell ref="J17:K17"/>
    <mergeCell ref="J18:K18"/>
    <mergeCell ref="J19:K19"/>
    <mergeCell ref="J20:L20"/>
    <mergeCell ref="J21:L21"/>
    <mergeCell ref="J22:L22"/>
    <mergeCell ref="J23:L23"/>
    <mergeCell ref="J24:L24"/>
    <mergeCell ref="J25:L25"/>
    <mergeCell ref="J26:K26"/>
    <mergeCell ref="J27:K27"/>
    <mergeCell ref="J28:K28"/>
    <mergeCell ref="J29:K29"/>
    <mergeCell ref="J30:K30"/>
    <mergeCell ref="J31:K31"/>
    <mergeCell ref="J32:K32"/>
    <mergeCell ref="J33:K33"/>
    <mergeCell ref="O39:P39"/>
    <mergeCell ref="O40:P40"/>
    <mergeCell ref="B43:B44"/>
    <mergeCell ref="C43:D44"/>
    <mergeCell ref="J43:K43"/>
    <mergeCell ref="O43:P43"/>
    <mergeCell ref="O44:P44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" width="15.43"/>
    <col customWidth="1" min="4" max="4" width="19.29"/>
    <col customWidth="1" min="5" max="9" width="8.71"/>
    <col customWidth="1" min="10" max="10" width="39.29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39" t="s">
        <v>97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140" t="s">
        <v>97</v>
      </c>
      <c r="K6" s="10"/>
      <c r="L6" s="11" t="s">
        <v>3</v>
      </c>
      <c r="M6" s="6"/>
      <c r="O6" s="141" t="s">
        <v>97</v>
      </c>
      <c r="P6" s="10"/>
      <c r="Q6" s="95" t="s">
        <v>3</v>
      </c>
      <c r="R6" s="9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  <c r="O7" s="97" t="s">
        <v>5</v>
      </c>
      <c r="P7" s="15"/>
      <c r="Q7" s="16"/>
      <c r="R7" s="96"/>
    </row>
    <row r="8" ht="14.25" customHeight="1">
      <c r="A8" s="5"/>
      <c r="B8" s="17"/>
      <c r="C8" s="17" t="s">
        <v>6</v>
      </c>
      <c r="D8" s="142">
        <v>0.0</v>
      </c>
      <c r="E8" s="6"/>
      <c r="F8" s="6"/>
      <c r="G8" s="6"/>
      <c r="H8" s="6"/>
      <c r="I8" s="6"/>
      <c r="J8" s="143" t="s">
        <v>312</v>
      </c>
      <c r="K8" s="98"/>
      <c r="L8" s="144"/>
      <c r="M8" s="6"/>
      <c r="O8" s="145" t="s">
        <v>313</v>
      </c>
      <c r="P8" s="98"/>
      <c r="Q8" s="177">
        <v>150000.0</v>
      </c>
      <c r="R8" s="9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132"/>
      <c r="L9" s="146"/>
      <c r="M9" s="6"/>
      <c r="O9" s="101"/>
      <c r="Q9" s="102"/>
      <c r="R9" s="96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22"/>
      <c r="L10" s="23"/>
      <c r="M10" s="6"/>
      <c r="O10" s="101"/>
      <c r="Q10" s="102"/>
      <c r="R10" s="96"/>
    </row>
    <row r="11" ht="14.25" customHeight="1">
      <c r="A11" s="5"/>
      <c r="B11" s="17"/>
      <c r="C11" s="18"/>
      <c r="D11" s="88">
        <v>40000.0</v>
      </c>
      <c r="E11" s="6"/>
      <c r="F11" s="6"/>
      <c r="G11" s="6"/>
      <c r="H11" s="6"/>
      <c r="I11" s="6"/>
      <c r="J11" s="103"/>
      <c r="K11" s="104"/>
      <c r="L11" s="23"/>
      <c r="M11" s="179">
        <f>L8+L9</f>
        <v>0</v>
      </c>
      <c r="O11" s="105"/>
      <c r="P11" s="104"/>
      <c r="Q11" s="102"/>
      <c r="R11" s="106">
        <f>SUM(Q8:Q11)</f>
        <v>150000</v>
      </c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8" t="s">
        <v>10</v>
      </c>
      <c r="K12" s="29"/>
      <c r="L12" s="30"/>
      <c r="M12" s="6"/>
      <c r="O12" s="107" t="s">
        <v>10</v>
      </c>
      <c r="P12" s="29"/>
      <c r="Q12" s="30"/>
      <c r="R12" s="96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43"/>
      <c r="K13" s="98"/>
      <c r="L13" s="144"/>
      <c r="M13" s="6"/>
      <c r="O13" s="145"/>
      <c r="P13" s="98"/>
      <c r="Q13" s="100"/>
      <c r="R13" s="96"/>
    </row>
    <row r="14" ht="14.25" customHeight="1">
      <c r="A14" s="5"/>
      <c r="B14" s="32" t="s">
        <v>11</v>
      </c>
      <c r="C14" s="33"/>
      <c r="D14" s="34">
        <f>SUM(D8:D13)</f>
        <v>140000</v>
      </c>
      <c r="E14" s="6"/>
      <c r="F14" s="6"/>
      <c r="G14" s="6"/>
      <c r="H14" s="6"/>
      <c r="I14" s="6"/>
      <c r="J14" s="132" t="s">
        <v>314</v>
      </c>
      <c r="L14" s="146"/>
      <c r="M14" s="6"/>
      <c r="O14" s="173" t="s">
        <v>315</v>
      </c>
      <c r="Q14" s="102"/>
      <c r="R14" s="9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132" t="s">
        <v>316</v>
      </c>
      <c r="L15" s="23"/>
      <c r="M15" s="6"/>
      <c r="O15" s="173" t="s">
        <v>317</v>
      </c>
      <c r="Q15" s="178">
        <v>30000.0</v>
      </c>
      <c r="R15" s="9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L16" s="23"/>
      <c r="M16" s="6"/>
      <c r="O16" s="173" t="s">
        <v>318</v>
      </c>
      <c r="Q16" s="178">
        <v>30000.0</v>
      </c>
      <c r="R16" s="96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22"/>
      <c r="L17" s="23"/>
      <c r="M17" s="6"/>
      <c r="O17" s="101"/>
      <c r="Q17" s="102"/>
      <c r="R17" s="96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101"/>
      <c r="Q18" s="102"/>
      <c r="R18" s="96"/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23"/>
      <c r="M19" s="179">
        <v>49000.0</v>
      </c>
      <c r="O19" s="101"/>
      <c r="Q19" s="102"/>
      <c r="R19" s="106">
        <f>SUM(Q13:Q18)</f>
        <v>60000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108"/>
      <c r="P20" s="76"/>
      <c r="Q20" s="77"/>
      <c r="R20" s="109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110"/>
      <c r="P21" s="37"/>
      <c r="Q21" s="38"/>
      <c r="R21" s="109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111"/>
      <c r="P22" s="37"/>
      <c r="Q22" s="38"/>
      <c r="R22" s="112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147" t="s">
        <v>12</v>
      </c>
      <c r="K23" s="86"/>
      <c r="L23" s="55"/>
      <c r="M23" s="148">
        <f>M11+M19</f>
        <v>49000</v>
      </c>
      <c r="N23" s="78"/>
      <c r="O23" s="113" t="s">
        <v>12</v>
      </c>
      <c r="P23" s="37"/>
      <c r="Q23" s="38"/>
      <c r="R23" s="114">
        <f>R11+R19</f>
        <v>210000</v>
      </c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49" t="s">
        <v>172</v>
      </c>
      <c r="K24" s="37"/>
      <c r="L24" s="38"/>
      <c r="M24" s="150"/>
      <c r="O24" s="101"/>
      <c r="Q24" s="115"/>
      <c r="R24" s="96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51" t="s">
        <v>173</v>
      </c>
      <c r="K25" s="37"/>
      <c r="L25" s="38"/>
      <c r="M25" s="152"/>
      <c r="O25" s="101"/>
      <c r="Q25" s="116"/>
      <c r="R25" s="96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5"/>
      <c r="L26" s="136"/>
      <c r="M26" s="6"/>
      <c r="O26" s="101"/>
      <c r="Q26" s="116"/>
      <c r="R26" s="9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135" t="s">
        <v>78</v>
      </c>
      <c r="L27" s="134">
        <v>1800.0</v>
      </c>
      <c r="M27" s="6"/>
      <c r="O27" s="101"/>
      <c r="Q27" s="116"/>
      <c r="R27" s="96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135" t="s">
        <v>297</v>
      </c>
      <c r="L28" s="134">
        <v>800.0</v>
      </c>
      <c r="M28" s="6"/>
      <c r="O28" s="117"/>
      <c r="P28" s="46"/>
      <c r="Q28" s="116"/>
      <c r="R28" s="96"/>
    </row>
    <row r="29" ht="14.25" customHeight="1">
      <c r="A29" s="6"/>
      <c r="B29" s="153" t="s">
        <v>97</v>
      </c>
      <c r="C29" s="8"/>
      <c r="D29" s="6"/>
      <c r="E29" s="6"/>
      <c r="F29" s="6"/>
      <c r="G29" s="6"/>
      <c r="H29" s="6"/>
      <c r="I29" s="6"/>
      <c r="J29" s="135" t="s">
        <v>319</v>
      </c>
      <c r="L29" s="134">
        <v>1000.0</v>
      </c>
      <c r="M29" s="6"/>
      <c r="O29" s="117"/>
      <c r="P29" s="46"/>
      <c r="Q29" s="116"/>
      <c r="R29" s="96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135" t="s">
        <v>320</v>
      </c>
      <c r="K30" s="46"/>
      <c r="L30" s="134">
        <v>1000.0</v>
      </c>
      <c r="M30" s="6"/>
      <c r="O30" s="117"/>
      <c r="P30" s="46"/>
      <c r="Q30" s="116"/>
      <c r="R30" s="96"/>
    </row>
    <row r="31" ht="14.25" customHeight="1">
      <c r="A31" s="5"/>
      <c r="B31" s="25"/>
      <c r="C31" s="27" t="s">
        <v>3</v>
      </c>
      <c r="D31" s="154" t="s">
        <v>321</v>
      </c>
      <c r="E31" s="6"/>
      <c r="F31" s="6"/>
      <c r="G31" s="6"/>
      <c r="H31" s="6"/>
      <c r="I31" s="6"/>
      <c r="J31" s="135" t="s">
        <v>322</v>
      </c>
      <c r="K31" s="46"/>
      <c r="L31" s="134">
        <v>2000.0</v>
      </c>
      <c r="M31" s="6"/>
      <c r="O31" s="117"/>
      <c r="P31" s="46"/>
      <c r="Q31" s="116"/>
      <c r="R31" s="96"/>
    </row>
    <row r="32" ht="14.25" customHeight="1">
      <c r="A32" s="5"/>
      <c r="B32" s="24" t="s">
        <v>24</v>
      </c>
      <c r="C32" s="44">
        <v>41000.0</v>
      </c>
      <c r="D32" s="180" t="s">
        <v>25</v>
      </c>
      <c r="E32" s="6"/>
      <c r="F32" s="6"/>
      <c r="G32" s="6"/>
      <c r="H32" s="6"/>
      <c r="I32" s="6"/>
      <c r="J32" s="22"/>
      <c r="L32" s="41"/>
      <c r="M32" s="6"/>
      <c r="O32" s="101"/>
      <c r="Q32" s="116"/>
      <c r="R32" s="96"/>
    </row>
    <row r="33" ht="14.25" customHeight="1">
      <c r="A33" s="6"/>
      <c r="B33" s="44" t="s">
        <v>26</v>
      </c>
      <c r="C33" s="44">
        <v>4000.0</v>
      </c>
      <c r="D33" s="180" t="s">
        <v>25</v>
      </c>
      <c r="E33" s="6"/>
      <c r="F33" s="6"/>
      <c r="G33" s="6"/>
      <c r="H33" s="6"/>
      <c r="I33" s="6"/>
      <c r="J33" s="22"/>
      <c r="L33" s="41"/>
      <c r="M33" s="6"/>
      <c r="O33" s="101"/>
      <c r="Q33" s="116"/>
      <c r="R33" s="96"/>
    </row>
    <row r="34" ht="14.25" customHeight="1">
      <c r="A34" s="5"/>
      <c r="B34" s="44" t="s">
        <v>27</v>
      </c>
      <c r="C34" s="44">
        <v>1000.0</v>
      </c>
      <c r="D34" s="156" t="s">
        <v>25</v>
      </c>
      <c r="E34" s="6"/>
      <c r="F34" s="6"/>
      <c r="G34" s="6"/>
      <c r="H34" s="6"/>
      <c r="I34" s="6"/>
      <c r="J34" s="22"/>
      <c r="L34" s="41"/>
      <c r="M34" s="6"/>
      <c r="O34" s="101"/>
      <c r="Q34" s="116"/>
      <c r="R34" s="96"/>
    </row>
    <row r="35" ht="14.25" customHeight="1">
      <c r="A35" s="5"/>
      <c r="B35" s="44" t="s">
        <v>29</v>
      </c>
      <c r="C35" s="157">
        <v>49000.0</v>
      </c>
      <c r="D35" s="156" t="s">
        <v>25</v>
      </c>
      <c r="E35" s="6"/>
      <c r="F35" s="6"/>
      <c r="G35" s="6"/>
      <c r="H35" s="6"/>
      <c r="I35" s="6"/>
      <c r="J35" s="22"/>
      <c r="L35" s="41"/>
      <c r="M35" s="6"/>
      <c r="O35" s="101"/>
      <c r="Q35" s="116"/>
      <c r="R35" s="96"/>
    </row>
    <row r="36" ht="14.25" customHeight="1">
      <c r="A36" s="5"/>
      <c r="B36" s="44" t="s">
        <v>31</v>
      </c>
      <c r="C36" s="44">
        <v>5000.0</v>
      </c>
      <c r="D36" s="156" t="s">
        <v>25</v>
      </c>
      <c r="E36" s="6"/>
      <c r="F36" s="6"/>
      <c r="G36" s="6"/>
      <c r="H36" s="6"/>
      <c r="I36" s="6"/>
      <c r="J36" s="22"/>
      <c r="L36" s="41"/>
      <c r="M36" s="6"/>
      <c r="O36" s="101"/>
      <c r="Q36" s="116"/>
      <c r="R36" s="96"/>
    </row>
    <row r="37" ht="14.25" customHeight="1">
      <c r="A37" s="5"/>
      <c r="B37" s="44" t="s">
        <v>33</v>
      </c>
      <c r="C37" s="157">
        <v>5000.0</v>
      </c>
      <c r="D37" s="156" t="s">
        <v>25</v>
      </c>
      <c r="E37" s="6"/>
      <c r="F37" s="6"/>
      <c r="G37" s="6"/>
      <c r="H37" s="6"/>
      <c r="I37" s="6"/>
      <c r="J37" s="22"/>
      <c r="K37" s="46"/>
      <c r="L37" s="47"/>
      <c r="M37" s="6"/>
      <c r="O37" s="101"/>
      <c r="P37" s="46"/>
      <c r="Q37" s="118"/>
      <c r="R37" s="96"/>
    </row>
    <row r="38" ht="14.25" customHeight="1">
      <c r="A38" s="5"/>
      <c r="B38" s="157" t="s">
        <v>181</v>
      </c>
      <c r="C38" s="157">
        <v>10000.0</v>
      </c>
      <c r="D38" s="156" t="s">
        <v>25</v>
      </c>
      <c r="E38" s="6"/>
      <c r="F38" s="6"/>
      <c r="G38" s="6"/>
      <c r="H38" s="6"/>
      <c r="I38" s="6"/>
      <c r="J38" s="158" t="s">
        <v>323</v>
      </c>
      <c r="K38" s="38"/>
      <c r="L38" s="49">
        <f>SUM(L24:L36)</f>
        <v>6600</v>
      </c>
      <c r="M38" s="6"/>
      <c r="O38" s="159" t="s">
        <v>323</v>
      </c>
      <c r="P38" s="38"/>
      <c r="Q38" s="120">
        <f>SUM(Q24:Q36)</f>
        <v>0</v>
      </c>
      <c r="R38" s="96"/>
    </row>
    <row r="39" ht="14.25" customHeight="1">
      <c r="A39" s="5"/>
      <c r="B39" s="157" t="s">
        <v>183</v>
      </c>
      <c r="C39" s="157">
        <v>12000.0</v>
      </c>
      <c r="D39" s="156" t="s">
        <v>25</v>
      </c>
      <c r="E39" s="6"/>
      <c r="F39" s="6"/>
      <c r="G39" s="6"/>
      <c r="H39" s="6"/>
      <c r="I39" s="6"/>
      <c r="J39" s="135"/>
      <c r="L39" s="136"/>
      <c r="M39" s="6"/>
      <c r="O39" s="137" t="s">
        <v>324</v>
      </c>
      <c r="Q39" s="138">
        <v>60000.0</v>
      </c>
      <c r="R39" s="96"/>
    </row>
    <row r="40" ht="14.25" customHeight="1">
      <c r="A40" s="5"/>
      <c r="B40" s="18" t="s">
        <v>104</v>
      </c>
      <c r="C40" s="18">
        <v>0.0</v>
      </c>
      <c r="D40" s="156" t="s">
        <v>25</v>
      </c>
      <c r="E40" s="6"/>
      <c r="F40" s="6"/>
      <c r="G40" s="6"/>
      <c r="H40" s="6"/>
      <c r="I40" s="6"/>
      <c r="J40" s="135"/>
      <c r="L40" s="134"/>
      <c r="M40" s="6"/>
      <c r="O40" s="137"/>
      <c r="Q40" s="185"/>
      <c r="R40" s="96"/>
    </row>
    <row r="41" ht="14.25" customHeight="1">
      <c r="A41" s="5"/>
      <c r="B41" s="157" t="s">
        <v>325</v>
      </c>
      <c r="C41" s="157">
        <v>13000.0</v>
      </c>
      <c r="D41" s="156" t="s">
        <v>25</v>
      </c>
      <c r="E41" s="6"/>
      <c r="F41" s="6"/>
      <c r="G41" s="6"/>
      <c r="H41" s="6"/>
      <c r="I41" s="6"/>
      <c r="J41" s="135"/>
      <c r="L41" s="134"/>
      <c r="M41" s="6"/>
      <c r="O41" s="117"/>
      <c r="Q41" s="116"/>
      <c r="R41" s="96"/>
    </row>
    <row r="42" ht="14.25" customHeight="1">
      <c r="A42" s="5"/>
      <c r="B42" s="187" t="s">
        <v>326</v>
      </c>
      <c r="C42" s="187">
        <v>0.0</v>
      </c>
      <c r="D42" s="156" t="s">
        <v>25</v>
      </c>
      <c r="E42" s="6"/>
      <c r="F42" s="6"/>
      <c r="G42" s="6"/>
      <c r="H42" s="6"/>
      <c r="I42" s="6"/>
      <c r="J42" s="135"/>
      <c r="L42" s="134"/>
      <c r="M42" s="6"/>
      <c r="O42" s="117"/>
      <c r="Q42" s="116"/>
      <c r="R42" s="96"/>
    </row>
    <row r="43" ht="14.25" customHeight="1">
      <c r="A43" s="5"/>
      <c r="B43" s="189" t="s">
        <v>11</v>
      </c>
      <c r="C43" s="160">
        <f>SUM(C32:C42)</f>
        <v>140000</v>
      </c>
      <c r="D43" s="55"/>
      <c r="E43" s="6"/>
      <c r="F43" s="6"/>
      <c r="G43" s="6"/>
      <c r="H43" s="6"/>
      <c r="I43" s="6"/>
      <c r="J43" s="135"/>
      <c r="L43" s="134"/>
      <c r="M43" s="6"/>
      <c r="O43" s="117"/>
      <c r="Q43" s="116"/>
      <c r="R43" s="96"/>
    </row>
    <row r="44" ht="14.25" customHeight="1">
      <c r="A44" s="5"/>
      <c r="B44" s="56"/>
      <c r="C44" s="57"/>
      <c r="D44" s="58"/>
      <c r="E44" s="6"/>
      <c r="F44" s="6"/>
      <c r="G44" s="6"/>
      <c r="H44" s="6"/>
      <c r="I44" s="6"/>
      <c r="J44" s="135"/>
      <c r="L44" s="134"/>
      <c r="M44" s="6"/>
      <c r="O44" s="117"/>
      <c r="Q44" s="116"/>
      <c r="R44" s="96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22"/>
      <c r="N45" s="6"/>
      <c r="O45" s="117"/>
      <c r="Q45" s="116"/>
      <c r="R45" s="101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50"/>
      <c r="L46" s="80"/>
      <c r="M46" s="22"/>
      <c r="N46" s="6"/>
      <c r="O46" s="117"/>
      <c r="Q46" s="122"/>
      <c r="R46" s="101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50"/>
      <c r="L47" s="41"/>
      <c r="M47" s="22"/>
      <c r="O47" s="117"/>
      <c r="Q47" s="116"/>
      <c r="R47" s="101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81"/>
      <c r="K48" s="46"/>
      <c r="L48" s="19"/>
      <c r="M48" s="22"/>
      <c r="O48" s="123"/>
      <c r="P48" s="46"/>
      <c r="Q48" s="99"/>
      <c r="R48" s="101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81"/>
      <c r="K49" s="46"/>
      <c r="L49" s="19"/>
      <c r="M49" s="22"/>
      <c r="O49" s="123"/>
      <c r="P49" s="46"/>
      <c r="Q49" s="99"/>
      <c r="R49" s="101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50"/>
      <c r="L50" s="47"/>
      <c r="M50" s="6"/>
      <c r="O50" s="117"/>
      <c r="Q50" s="118"/>
      <c r="R50" s="96"/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161" t="s">
        <v>327</v>
      </c>
      <c r="K51" s="60"/>
      <c r="L51" s="82">
        <f>SUM(L39:L50)</f>
        <v>0</v>
      </c>
      <c r="M51" s="6"/>
      <c r="O51" s="162" t="s">
        <v>328</v>
      </c>
      <c r="P51" s="60"/>
      <c r="Q51" s="125">
        <f>SUM(Q39:Q50)</f>
        <v>60000</v>
      </c>
      <c r="R51" s="96"/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163" t="s">
        <v>329</v>
      </c>
      <c r="K52" s="37"/>
      <c r="L52" s="38"/>
      <c r="M52" s="83">
        <f>L38+L51</f>
        <v>6600</v>
      </c>
      <c r="O52" s="164" t="s">
        <v>329</v>
      </c>
      <c r="P52" s="37"/>
      <c r="Q52" s="38"/>
      <c r="R52" s="112">
        <f>R23-Q39</f>
        <v>150000</v>
      </c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165" t="s">
        <v>330</v>
      </c>
      <c r="K53" s="37"/>
      <c r="L53" s="38"/>
      <c r="M53" s="166">
        <f>M23-M52</f>
        <v>42400</v>
      </c>
      <c r="O53" s="126" t="s">
        <v>39</v>
      </c>
      <c r="P53" s="37"/>
      <c r="Q53" s="38"/>
      <c r="R53" s="192">
        <v>0.0</v>
      </c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167" t="s">
        <v>331</v>
      </c>
      <c r="K54" s="37"/>
      <c r="L54" s="84"/>
      <c r="M54" s="168"/>
      <c r="N54" s="78"/>
      <c r="O54" s="127" t="s">
        <v>40</v>
      </c>
      <c r="P54" s="37"/>
      <c r="Q54" s="84"/>
      <c r="R54" s="128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169" t="s">
        <v>332</v>
      </c>
      <c r="K55" s="37"/>
      <c r="L55" s="84"/>
      <c r="M55" s="170"/>
      <c r="N55" s="78"/>
      <c r="O55" s="127" t="s">
        <v>56</v>
      </c>
      <c r="P55" s="37"/>
      <c r="Q55" s="84"/>
      <c r="R55" s="128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131" t="s">
        <v>253</v>
      </c>
      <c r="K56" s="131">
        <v>587000.0</v>
      </c>
      <c r="L56" s="6"/>
      <c r="M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131" t="s">
        <v>227</v>
      </c>
      <c r="K57" s="131">
        <v>240000.0</v>
      </c>
      <c r="L57" s="6"/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182">
        <f>K56+K57</f>
        <v>827000</v>
      </c>
      <c r="L58" s="6"/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171" t="s">
        <v>97</v>
      </c>
      <c r="J61" s="70"/>
      <c r="K61" s="44" t="s">
        <v>3</v>
      </c>
      <c r="L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71" t="s">
        <v>42</v>
      </c>
      <c r="J62" s="29"/>
      <c r="K62" s="72"/>
      <c r="L62" s="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17"/>
      <c r="J63" s="4"/>
      <c r="K63" s="191">
        <v>111000.0</v>
      </c>
      <c r="L63" s="6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5"/>
      <c r="J64" s="6"/>
      <c r="K64" s="172">
        <v>31000.0</v>
      </c>
      <c r="L64" s="6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5"/>
      <c r="J65" s="6"/>
      <c r="K65" s="193"/>
      <c r="L65" s="6"/>
    </row>
    <row r="66" ht="14.25" customHeight="1">
      <c r="A66" s="5"/>
      <c r="B66" s="6"/>
      <c r="C66" s="6"/>
      <c r="D66" s="6"/>
      <c r="E66" s="6"/>
      <c r="F66" s="6"/>
      <c r="G66" s="6"/>
      <c r="H66" s="6"/>
      <c r="I66" s="5"/>
      <c r="J66" s="6"/>
      <c r="K66" s="172"/>
      <c r="L66" s="6"/>
    </row>
    <row r="67" ht="14.25" customHeight="1">
      <c r="A67" s="5"/>
      <c r="B67" s="6"/>
      <c r="C67" s="6"/>
      <c r="D67" s="6"/>
      <c r="E67" s="6"/>
      <c r="F67" s="6"/>
      <c r="G67" s="6"/>
      <c r="H67" s="6"/>
      <c r="I67" s="5"/>
      <c r="J67" s="6"/>
      <c r="K67" s="172"/>
      <c r="L67" s="6"/>
    </row>
    <row r="68" ht="14.25" customHeight="1">
      <c r="I68" s="5"/>
      <c r="J68" s="6"/>
      <c r="K68" s="183"/>
      <c r="L68" s="91"/>
      <c r="M68" s="92"/>
    </row>
    <row r="69" ht="14.25" customHeight="1">
      <c r="I69" s="5"/>
      <c r="J69" s="6"/>
      <c r="K69" s="183"/>
      <c r="L69" s="91"/>
      <c r="M69" s="92"/>
    </row>
    <row r="70" ht="14.25" customHeight="1">
      <c r="I70" s="5"/>
      <c r="J70" s="6"/>
      <c r="K70" s="172"/>
    </row>
    <row r="71" ht="14.25" customHeight="1">
      <c r="I71" s="73" t="s">
        <v>43</v>
      </c>
      <c r="J71" s="38"/>
      <c r="K71" s="68">
        <f>SUM(K63:K70)</f>
        <v>142000</v>
      </c>
      <c r="L71" s="6"/>
    </row>
    <row r="72" ht="14.25" customHeight="1">
      <c r="J72" s="131" t="s">
        <v>288</v>
      </c>
      <c r="K72" s="131">
        <v>111000.0</v>
      </c>
      <c r="L72" s="6"/>
    </row>
    <row r="73" ht="14.25" customHeight="1">
      <c r="J73" s="131" t="s">
        <v>289</v>
      </c>
      <c r="K73" s="194">
        <f>SUM(K64:K70)</f>
        <v>31000</v>
      </c>
      <c r="L73" s="6"/>
    </row>
    <row r="74" ht="14.25" customHeight="1">
      <c r="J74" s="131"/>
      <c r="K74" s="195"/>
    </row>
    <row r="75" ht="14.25" customHeight="1">
      <c r="J75" s="196"/>
      <c r="K75" s="197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08"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  <mergeCell ref="O34:P34"/>
    <mergeCell ref="O35:P35"/>
    <mergeCell ref="O27:P27"/>
    <mergeCell ref="O28:P28"/>
    <mergeCell ref="O29:P29"/>
    <mergeCell ref="O30:P30"/>
    <mergeCell ref="O31:P31"/>
    <mergeCell ref="O32:P32"/>
    <mergeCell ref="O33:P33"/>
    <mergeCell ref="J38:K38"/>
    <mergeCell ref="J39:K39"/>
    <mergeCell ref="J40:K40"/>
    <mergeCell ref="J41:K41"/>
    <mergeCell ref="O41:P41"/>
    <mergeCell ref="J42:K42"/>
    <mergeCell ref="O42:P42"/>
    <mergeCell ref="J34:K34"/>
    <mergeCell ref="J35:K35"/>
    <mergeCell ref="J36:K36"/>
    <mergeCell ref="O36:P36"/>
    <mergeCell ref="J37:K37"/>
    <mergeCell ref="O37:P37"/>
    <mergeCell ref="O38:P38"/>
    <mergeCell ref="O47:P47"/>
    <mergeCell ref="O48:P48"/>
    <mergeCell ref="J44:K44"/>
    <mergeCell ref="J45:K45"/>
    <mergeCell ref="O45:P45"/>
    <mergeCell ref="J46:K46"/>
    <mergeCell ref="O46:P46"/>
    <mergeCell ref="J47:K47"/>
    <mergeCell ref="J48:K48"/>
    <mergeCell ref="J52:L52"/>
    <mergeCell ref="J53:L53"/>
    <mergeCell ref="J54:L54"/>
    <mergeCell ref="J55:L55"/>
    <mergeCell ref="I61:J61"/>
    <mergeCell ref="I62:K62"/>
    <mergeCell ref="I71:J71"/>
    <mergeCell ref="O53:Q53"/>
    <mergeCell ref="O54:Q54"/>
    <mergeCell ref="O55:Q55"/>
    <mergeCell ref="J49:K49"/>
    <mergeCell ref="O49:P49"/>
    <mergeCell ref="J50:K50"/>
    <mergeCell ref="O50:P50"/>
    <mergeCell ref="J51:K51"/>
    <mergeCell ref="O51:P51"/>
    <mergeCell ref="O52:Q52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J10:K10"/>
    <mergeCell ref="O10:P10"/>
    <mergeCell ref="D11:D13"/>
    <mergeCell ref="J11:K11"/>
    <mergeCell ref="O11:P11"/>
    <mergeCell ref="J12:L12"/>
    <mergeCell ref="B14:C14"/>
    <mergeCell ref="O14:P14"/>
    <mergeCell ref="J13:K13"/>
    <mergeCell ref="J14:K14"/>
    <mergeCell ref="J15:K15"/>
    <mergeCell ref="J16:K16"/>
    <mergeCell ref="J17:K17"/>
    <mergeCell ref="J18:K18"/>
    <mergeCell ref="J19:K19"/>
    <mergeCell ref="J20:L20"/>
    <mergeCell ref="J21:L21"/>
    <mergeCell ref="J22:L22"/>
    <mergeCell ref="J23:L23"/>
    <mergeCell ref="J24:L24"/>
    <mergeCell ref="J25:L25"/>
    <mergeCell ref="J26:K26"/>
    <mergeCell ref="J27:K27"/>
    <mergeCell ref="J28:K28"/>
    <mergeCell ref="J29:K29"/>
    <mergeCell ref="J30:K30"/>
    <mergeCell ref="J31:K31"/>
    <mergeCell ref="J32:K32"/>
    <mergeCell ref="J33:K33"/>
    <mergeCell ref="O39:P39"/>
    <mergeCell ref="O40:P40"/>
    <mergeCell ref="B43:B44"/>
    <mergeCell ref="C43:D44"/>
    <mergeCell ref="J43:K43"/>
    <mergeCell ref="O43:P43"/>
    <mergeCell ref="O44:P44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" width="15.43"/>
    <col customWidth="1" min="4" max="4" width="19.29"/>
    <col customWidth="1" min="5" max="9" width="8.71"/>
    <col customWidth="1" min="10" max="10" width="36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39" t="s">
        <v>110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140" t="s">
        <v>110</v>
      </c>
      <c r="K6" s="10"/>
      <c r="L6" s="11" t="s">
        <v>3</v>
      </c>
      <c r="M6" s="6"/>
      <c r="O6" s="141" t="s">
        <v>110</v>
      </c>
      <c r="P6" s="10"/>
      <c r="Q6" s="95" t="s">
        <v>3</v>
      </c>
      <c r="R6" s="9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  <c r="O7" s="97" t="s">
        <v>5</v>
      </c>
      <c r="P7" s="15"/>
      <c r="Q7" s="16"/>
      <c r="R7" s="96"/>
    </row>
    <row r="8" ht="14.25" customHeight="1">
      <c r="A8" s="5"/>
      <c r="B8" s="17"/>
      <c r="C8" s="17" t="s">
        <v>6</v>
      </c>
      <c r="D8" s="142">
        <v>0.0</v>
      </c>
      <c r="E8" s="6"/>
      <c r="F8" s="6"/>
      <c r="G8" s="6"/>
      <c r="H8" s="6"/>
      <c r="I8" s="6"/>
      <c r="J8" s="143" t="s">
        <v>333</v>
      </c>
      <c r="K8" s="98"/>
      <c r="L8" s="144"/>
      <c r="M8" s="6"/>
      <c r="O8" s="145" t="s">
        <v>333</v>
      </c>
      <c r="P8" s="98"/>
      <c r="Q8" s="177">
        <v>150000.0</v>
      </c>
      <c r="R8" s="9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132"/>
      <c r="L9" s="146"/>
      <c r="M9" s="6"/>
      <c r="O9" s="101"/>
      <c r="Q9" s="102"/>
      <c r="R9" s="96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22"/>
      <c r="L10" s="23"/>
      <c r="M10" s="6"/>
      <c r="O10" s="101"/>
      <c r="Q10" s="102"/>
      <c r="R10" s="96"/>
    </row>
    <row r="11" ht="14.25" customHeight="1">
      <c r="A11" s="5"/>
      <c r="B11" s="17"/>
      <c r="C11" s="18"/>
      <c r="D11" s="88">
        <v>40000.0</v>
      </c>
      <c r="E11" s="6"/>
      <c r="F11" s="6"/>
      <c r="G11" s="6"/>
      <c r="H11" s="6"/>
      <c r="I11" s="6"/>
      <c r="J11" s="103"/>
      <c r="K11" s="104"/>
      <c r="L11" s="23"/>
      <c r="M11" s="179">
        <f>L8+L9</f>
        <v>0</v>
      </c>
      <c r="O11" s="105"/>
      <c r="P11" s="104"/>
      <c r="Q11" s="102"/>
      <c r="R11" s="106">
        <f>SUM(Q8:Q11)</f>
        <v>150000</v>
      </c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8" t="s">
        <v>10</v>
      </c>
      <c r="K12" s="29"/>
      <c r="L12" s="30"/>
      <c r="M12" s="6"/>
      <c r="O12" s="107" t="s">
        <v>10</v>
      </c>
      <c r="P12" s="29"/>
      <c r="Q12" s="30"/>
      <c r="R12" s="96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43"/>
      <c r="K13" s="98"/>
      <c r="L13" s="144"/>
      <c r="M13" s="6"/>
      <c r="O13" s="145"/>
      <c r="P13" s="98"/>
      <c r="Q13" s="100"/>
      <c r="R13" s="96"/>
    </row>
    <row r="14" ht="14.25" customHeight="1">
      <c r="A14" s="5"/>
      <c r="B14" s="32" t="s">
        <v>11</v>
      </c>
      <c r="C14" s="33"/>
      <c r="D14" s="34">
        <f>SUM(D8:D13)</f>
        <v>140000</v>
      </c>
      <c r="E14" s="6"/>
      <c r="F14" s="6"/>
      <c r="G14" s="6"/>
      <c r="H14" s="6"/>
      <c r="I14" s="6"/>
      <c r="J14" s="132" t="s">
        <v>334</v>
      </c>
      <c r="L14" s="146"/>
      <c r="M14" s="6"/>
      <c r="O14" s="173" t="s">
        <v>335</v>
      </c>
      <c r="Q14" s="102"/>
      <c r="R14" s="9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132" t="s">
        <v>316</v>
      </c>
      <c r="L15" s="23"/>
      <c r="M15" s="6"/>
      <c r="O15" s="101"/>
      <c r="Q15" s="102"/>
      <c r="R15" s="9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L16" s="23"/>
      <c r="M16" s="6"/>
      <c r="O16" s="101"/>
      <c r="Q16" s="102"/>
      <c r="R16" s="96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22"/>
      <c r="L17" s="23"/>
      <c r="M17" s="6"/>
      <c r="O17" s="101"/>
      <c r="Q17" s="102"/>
      <c r="R17" s="96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101"/>
      <c r="Q18" s="102"/>
      <c r="R18" s="96"/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23"/>
      <c r="M19" s="179">
        <v>49000.0</v>
      </c>
      <c r="O19" s="101"/>
      <c r="Q19" s="102"/>
      <c r="R19" s="106">
        <f>SUM(Q13:Q18)</f>
        <v>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108"/>
      <c r="P20" s="76"/>
      <c r="Q20" s="77"/>
      <c r="R20" s="109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110"/>
      <c r="P21" s="37"/>
      <c r="Q21" s="38"/>
      <c r="R21" s="109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111"/>
      <c r="P22" s="37"/>
      <c r="Q22" s="38"/>
      <c r="R22" s="112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147" t="s">
        <v>12</v>
      </c>
      <c r="K23" s="86"/>
      <c r="L23" s="55"/>
      <c r="M23" s="148">
        <f>M11+M19</f>
        <v>49000</v>
      </c>
      <c r="N23" s="78"/>
      <c r="O23" s="113" t="s">
        <v>12</v>
      </c>
      <c r="P23" s="37"/>
      <c r="Q23" s="38"/>
      <c r="R23" s="114">
        <f>R11+R19</f>
        <v>150000</v>
      </c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49" t="s">
        <v>172</v>
      </c>
      <c r="K24" s="37"/>
      <c r="L24" s="38"/>
      <c r="M24" s="150"/>
      <c r="O24" s="173" t="s">
        <v>336</v>
      </c>
      <c r="Q24" s="198">
        <v>43000.0</v>
      </c>
      <c r="R24" s="96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51" t="s">
        <v>173</v>
      </c>
      <c r="K25" s="37"/>
      <c r="L25" s="38"/>
      <c r="M25" s="152"/>
      <c r="O25" s="101"/>
      <c r="Q25" s="116"/>
      <c r="R25" s="96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5" t="s">
        <v>337</v>
      </c>
      <c r="L26" s="136">
        <v>25000.0</v>
      </c>
      <c r="M26" s="6"/>
      <c r="O26" s="101"/>
      <c r="Q26" s="116"/>
      <c r="R26" s="9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135"/>
      <c r="L27" s="134"/>
      <c r="M27" s="6"/>
      <c r="O27" s="101"/>
      <c r="Q27" s="116"/>
      <c r="R27" s="96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135"/>
      <c r="L28" s="134"/>
      <c r="M28" s="6"/>
      <c r="O28" s="117"/>
      <c r="P28" s="46"/>
      <c r="Q28" s="116"/>
      <c r="R28" s="96"/>
    </row>
    <row r="29" ht="14.25" customHeight="1">
      <c r="A29" s="6"/>
      <c r="B29" s="153" t="s">
        <v>110</v>
      </c>
      <c r="C29" s="8"/>
      <c r="D29" s="6"/>
      <c r="E29" s="6"/>
      <c r="F29" s="6"/>
      <c r="G29" s="6"/>
      <c r="H29" s="6"/>
      <c r="I29" s="6"/>
      <c r="J29" s="135"/>
      <c r="L29" s="134"/>
      <c r="M29" s="131">
        <f>40000-25000</f>
        <v>15000</v>
      </c>
      <c r="O29" s="117"/>
      <c r="P29" s="46"/>
      <c r="Q29" s="116"/>
      <c r="R29" s="96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135"/>
      <c r="K30" s="46"/>
      <c r="L30" s="134"/>
      <c r="M30" s="6"/>
      <c r="O30" s="117"/>
      <c r="P30" s="46"/>
      <c r="Q30" s="116"/>
      <c r="R30" s="96"/>
    </row>
    <row r="31" ht="14.25" customHeight="1">
      <c r="A31" s="5"/>
      <c r="B31" s="25"/>
      <c r="C31" s="27" t="s">
        <v>3</v>
      </c>
      <c r="D31" s="154" t="s">
        <v>338</v>
      </c>
      <c r="E31" s="6"/>
      <c r="F31" s="6"/>
      <c r="G31" s="6"/>
      <c r="H31" s="6"/>
      <c r="I31" s="6"/>
      <c r="J31" s="135"/>
      <c r="K31" s="46"/>
      <c r="L31" s="134"/>
      <c r="M31" s="6"/>
      <c r="O31" s="117"/>
      <c r="P31" s="46"/>
      <c r="Q31" s="116"/>
      <c r="R31" s="96"/>
    </row>
    <row r="32" ht="14.25" customHeight="1">
      <c r="A32" s="5"/>
      <c r="B32" s="24" t="s">
        <v>24</v>
      </c>
      <c r="C32" s="44">
        <v>41000.0</v>
      </c>
      <c r="D32" s="180" t="s">
        <v>25</v>
      </c>
      <c r="E32" s="6"/>
      <c r="F32" s="6"/>
      <c r="G32" s="6"/>
      <c r="H32" s="6"/>
      <c r="I32" s="6"/>
      <c r="J32" s="22"/>
      <c r="L32" s="41"/>
      <c r="M32" s="6"/>
      <c r="O32" s="101"/>
      <c r="Q32" s="116"/>
      <c r="R32" s="96"/>
    </row>
    <row r="33" ht="14.25" customHeight="1">
      <c r="A33" s="6"/>
      <c r="B33" s="44" t="s">
        <v>26</v>
      </c>
      <c r="C33" s="44">
        <v>4000.0</v>
      </c>
      <c r="D33" s="180" t="s">
        <v>25</v>
      </c>
      <c r="E33" s="6"/>
      <c r="F33" s="6"/>
      <c r="G33" s="6"/>
      <c r="H33" s="6"/>
      <c r="I33" s="6"/>
      <c r="J33" s="22"/>
      <c r="L33" s="41"/>
      <c r="M33" s="6"/>
      <c r="O33" s="101"/>
      <c r="Q33" s="116"/>
      <c r="R33" s="96"/>
    </row>
    <row r="34" ht="14.25" customHeight="1">
      <c r="A34" s="5"/>
      <c r="B34" s="44" t="s">
        <v>27</v>
      </c>
      <c r="C34" s="44">
        <v>1000.0</v>
      </c>
      <c r="D34" s="156" t="s">
        <v>25</v>
      </c>
      <c r="E34" s="6"/>
      <c r="F34" s="6"/>
      <c r="G34" s="6"/>
      <c r="H34" s="6"/>
      <c r="I34" s="6"/>
      <c r="J34" s="22"/>
      <c r="L34" s="41"/>
      <c r="M34" s="6"/>
      <c r="O34" s="101"/>
      <c r="Q34" s="116"/>
      <c r="R34" s="96"/>
    </row>
    <row r="35" ht="14.25" customHeight="1">
      <c r="A35" s="5"/>
      <c r="B35" s="44" t="s">
        <v>29</v>
      </c>
      <c r="C35" s="157">
        <v>49000.0</v>
      </c>
      <c r="D35" s="156" t="s">
        <v>25</v>
      </c>
      <c r="E35" s="6"/>
      <c r="F35" s="6"/>
      <c r="G35" s="6"/>
      <c r="H35" s="6"/>
      <c r="I35" s="6"/>
      <c r="J35" s="22"/>
      <c r="L35" s="41"/>
      <c r="M35" s="6"/>
      <c r="O35" s="101"/>
      <c r="Q35" s="116"/>
      <c r="R35" s="96"/>
    </row>
    <row r="36" ht="14.25" customHeight="1">
      <c r="A36" s="5"/>
      <c r="B36" s="44" t="s">
        <v>31</v>
      </c>
      <c r="C36" s="44">
        <v>5000.0</v>
      </c>
      <c r="D36" s="156" t="s">
        <v>25</v>
      </c>
      <c r="E36" s="6"/>
      <c r="F36" s="6"/>
      <c r="G36" s="6"/>
      <c r="H36" s="6"/>
      <c r="I36" s="6"/>
      <c r="J36" s="22"/>
      <c r="L36" s="41"/>
      <c r="M36" s="6"/>
      <c r="O36" s="101"/>
      <c r="Q36" s="116"/>
      <c r="R36" s="96"/>
    </row>
    <row r="37" ht="14.25" customHeight="1">
      <c r="A37" s="5"/>
      <c r="B37" s="44" t="s">
        <v>33</v>
      </c>
      <c r="C37" s="157">
        <v>5000.0</v>
      </c>
      <c r="D37" s="156" t="s">
        <v>25</v>
      </c>
      <c r="E37" s="6"/>
      <c r="F37" s="6"/>
      <c r="G37" s="6"/>
      <c r="H37" s="6"/>
      <c r="I37" s="6"/>
      <c r="J37" s="22"/>
      <c r="K37" s="46"/>
      <c r="L37" s="47"/>
      <c r="M37" s="6"/>
      <c r="O37" s="101"/>
      <c r="P37" s="46"/>
      <c r="Q37" s="118"/>
      <c r="R37" s="96"/>
    </row>
    <row r="38" ht="14.25" customHeight="1">
      <c r="A38" s="5"/>
      <c r="B38" s="157" t="s">
        <v>181</v>
      </c>
      <c r="C38" s="157">
        <v>10000.0</v>
      </c>
      <c r="D38" s="156" t="s">
        <v>25</v>
      </c>
      <c r="E38" s="6"/>
      <c r="F38" s="6"/>
      <c r="G38" s="6"/>
      <c r="H38" s="6"/>
      <c r="I38" s="6"/>
      <c r="J38" s="158" t="s">
        <v>112</v>
      </c>
      <c r="K38" s="38"/>
      <c r="L38" s="49">
        <f>SUM(L24:L36)</f>
        <v>25000</v>
      </c>
      <c r="M38" s="6"/>
      <c r="O38" s="159" t="s">
        <v>112</v>
      </c>
      <c r="P38" s="38"/>
      <c r="Q38" s="120">
        <f>SUM(Q24:Q36)</f>
        <v>43000</v>
      </c>
      <c r="R38" s="96"/>
    </row>
    <row r="39" ht="14.25" customHeight="1">
      <c r="A39" s="5"/>
      <c r="B39" s="157" t="s">
        <v>183</v>
      </c>
      <c r="C39" s="157">
        <v>12000.0</v>
      </c>
      <c r="D39" s="199" t="s">
        <v>25</v>
      </c>
      <c r="E39" s="6"/>
      <c r="F39" s="6"/>
      <c r="G39" s="6"/>
      <c r="H39" s="6"/>
      <c r="I39" s="6"/>
      <c r="J39" s="135" t="s">
        <v>337</v>
      </c>
      <c r="L39" s="136">
        <v>20000.0</v>
      </c>
      <c r="M39" s="6"/>
      <c r="O39" s="137" t="s">
        <v>337</v>
      </c>
      <c r="Q39" s="138">
        <v>55000.0</v>
      </c>
      <c r="R39" s="96"/>
    </row>
    <row r="40" ht="14.25" customHeight="1">
      <c r="A40" s="5"/>
      <c r="B40" s="18" t="s">
        <v>104</v>
      </c>
      <c r="C40" s="18">
        <v>0.0</v>
      </c>
      <c r="D40" s="156" t="s">
        <v>25</v>
      </c>
      <c r="E40" s="6"/>
      <c r="F40" s="6"/>
      <c r="G40" s="6"/>
      <c r="H40" s="6"/>
      <c r="I40" s="6"/>
      <c r="J40" s="135" t="s">
        <v>339</v>
      </c>
      <c r="L40" s="134">
        <v>13000.0</v>
      </c>
      <c r="M40" s="6"/>
      <c r="O40" s="137" t="s">
        <v>340</v>
      </c>
      <c r="Q40" s="185">
        <v>11000.0</v>
      </c>
      <c r="R40" s="96"/>
    </row>
    <row r="41" ht="14.25" customHeight="1">
      <c r="A41" s="5"/>
      <c r="B41" s="157" t="s">
        <v>325</v>
      </c>
      <c r="C41" s="157">
        <v>13000.0</v>
      </c>
      <c r="D41" s="199" t="s">
        <v>25</v>
      </c>
      <c r="E41" s="6"/>
      <c r="F41" s="6"/>
      <c r="G41" s="6"/>
      <c r="H41" s="6"/>
      <c r="I41" s="6"/>
      <c r="J41" s="135"/>
      <c r="L41" s="134"/>
      <c r="M41" s="6"/>
      <c r="O41" s="117"/>
      <c r="Q41" s="116"/>
      <c r="R41" s="96"/>
    </row>
    <row r="42" ht="14.25" customHeight="1">
      <c r="A42" s="5"/>
      <c r="B42" s="187" t="s">
        <v>326</v>
      </c>
      <c r="C42" s="187">
        <v>0.0</v>
      </c>
      <c r="D42" s="199" t="s">
        <v>25</v>
      </c>
      <c r="E42" s="6"/>
      <c r="F42" s="6"/>
      <c r="G42" s="6"/>
      <c r="H42" s="6"/>
      <c r="I42" s="6"/>
      <c r="J42" s="135"/>
      <c r="L42" s="134"/>
      <c r="M42" s="6"/>
      <c r="O42" s="117"/>
      <c r="Q42" s="116"/>
      <c r="R42" s="96"/>
    </row>
    <row r="43" ht="14.25" customHeight="1">
      <c r="A43" s="5"/>
      <c r="B43" s="189" t="s">
        <v>11</v>
      </c>
      <c r="C43" s="160">
        <f>SUM(C32:C42)</f>
        <v>140000</v>
      </c>
      <c r="D43" s="55"/>
      <c r="E43" s="6"/>
      <c r="F43" s="6"/>
      <c r="G43" s="6"/>
      <c r="H43" s="6"/>
      <c r="I43" s="6"/>
      <c r="J43" s="135"/>
      <c r="L43" s="134"/>
      <c r="M43" s="131"/>
      <c r="O43" s="117"/>
      <c r="Q43" s="116"/>
      <c r="R43" s="96"/>
    </row>
    <row r="44" ht="14.25" customHeight="1">
      <c r="A44" s="5"/>
      <c r="B44" s="56"/>
      <c r="C44" s="57"/>
      <c r="D44" s="58"/>
      <c r="E44" s="6"/>
      <c r="F44" s="6"/>
      <c r="G44" s="6"/>
      <c r="H44" s="6"/>
      <c r="I44" s="6"/>
      <c r="J44" s="135"/>
      <c r="L44" s="134"/>
      <c r="M44" s="6"/>
      <c r="O44" s="117"/>
      <c r="Q44" s="116"/>
      <c r="R44" s="96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22"/>
      <c r="N45" s="6"/>
      <c r="O45" s="117"/>
      <c r="Q45" s="116"/>
      <c r="R45" s="101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50"/>
      <c r="L46" s="80"/>
      <c r="M46" s="22"/>
      <c r="N46" s="6"/>
      <c r="O46" s="117"/>
      <c r="Q46" s="122"/>
      <c r="R46" s="101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50"/>
      <c r="L47" s="41"/>
      <c r="M47" s="22"/>
      <c r="O47" s="117"/>
      <c r="Q47" s="116"/>
      <c r="R47" s="101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81"/>
      <c r="K48" s="46"/>
      <c r="L48" s="19"/>
      <c r="M48" s="22"/>
      <c r="O48" s="123"/>
      <c r="P48" s="46"/>
      <c r="Q48" s="99"/>
      <c r="R48" s="101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81"/>
      <c r="K49" s="46"/>
      <c r="L49" s="19"/>
      <c r="M49" s="22">
        <f>33000-9000-15000</f>
        <v>9000</v>
      </c>
      <c r="O49" s="123"/>
      <c r="P49" s="46"/>
      <c r="Q49" s="99"/>
      <c r="R49" s="101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50"/>
      <c r="L50" s="47"/>
      <c r="M50" s="6"/>
      <c r="O50" s="117"/>
      <c r="Q50" s="118"/>
      <c r="R50" s="96"/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161" t="s">
        <v>113</v>
      </c>
      <c r="K51" s="60"/>
      <c r="L51" s="82">
        <f>SUM(L39:L50)</f>
        <v>33000</v>
      </c>
      <c r="M51" s="6"/>
      <c r="O51" s="162" t="s">
        <v>113</v>
      </c>
      <c r="P51" s="60"/>
      <c r="Q51" s="125">
        <f>SUM(Q39:Q50)</f>
        <v>66000</v>
      </c>
      <c r="R51" s="96"/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163" t="s">
        <v>114</v>
      </c>
      <c r="K52" s="37"/>
      <c r="L52" s="38"/>
      <c r="M52" s="83">
        <f>L38+L51</f>
        <v>58000</v>
      </c>
      <c r="O52" s="164" t="s">
        <v>114</v>
      </c>
      <c r="P52" s="37"/>
      <c r="Q52" s="38"/>
      <c r="R52" s="112">
        <f>Q38+Q51</f>
        <v>109000</v>
      </c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165" t="s">
        <v>341</v>
      </c>
      <c r="K53" s="37"/>
      <c r="L53" s="38"/>
      <c r="M53" s="166">
        <f>M23-M52</f>
        <v>-9000</v>
      </c>
      <c r="N53" s="200" t="s">
        <v>342</v>
      </c>
      <c r="O53" s="126" t="s">
        <v>39</v>
      </c>
      <c r="P53" s="37"/>
      <c r="Q53" s="38"/>
      <c r="R53" s="102">
        <f>R23-R52</f>
        <v>41000</v>
      </c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167" t="s">
        <v>343</v>
      </c>
      <c r="K54" s="37"/>
      <c r="L54" s="84"/>
      <c r="M54" s="168"/>
      <c r="N54" s="78"/>
      <c r="O54" s="127" t="s">
        <v>40</v>
      </c>
      <c r="P54" s="37"/>
      <c r="Q54" s="84"/>
      <c r="R54" s="128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169" t="s">
        <v>344</v>
      </c>
      <c r="K55" s="37"/>
      <c r="L55" s="84"/>
      <c r="M55" s="170"/>
      <c r="N55" s="78"/>
      <c r="O55" s="127" t="s">
        <v>56</v>
      </c>
      <c r="P55" s="37"/>
      <c r="Q55" s="84"/>
      <c r="R55" s="128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131" t="s">
        <v>253</v>
      </c>
      <c r="K56" s="131">
        <v>600000.0</v>
      </c>
      <c r="L56" s="6"/>
      <c r="M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131" t="s">
        <v>227</v>
      </c>
      <c r="K57" s="131">
        <v>240000.0</v>
      </c>
      <c r="L57" s="6"/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182">
        <f>K56+K57</f>
        <v>840000</v>
      </c>
      <c r="L58" s="6"/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171" t="s">
        <v>110</v>
      </c>
      <c r="J61" s="70"/>
      <c r="K61" s="44" t="s">
        <v>3</v>
      </c>
      <c r="L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71" t="s">
        <v>42</v>
      </c>
      <c r="J62" s="29"/>
      <c r="K62" s="72"/>
      <c r="L62" s="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17"/>
      <c r="J63" s="4"/>
      <c r="K63" s="191">
        <v>111000.0</v>
      </c>
      <c r="L63" s="6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5"/>
      <c r="J64" s="6"/>
      <c r="K64" s="172">
        <v>36000.0</v>
      </c>
      <c r="L64" s="6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5"/>
      <c r="J65" s="6"/>
      <c r="K65" s="183"/>
      <c r="L65" s="6"/>
    </row>
    <row r="66" ht="14.25" customHeight="1">
      <c r="A66" s="5"/>
      <c r="B66" s="6"/>
      <c r="C66" s="6"/>
      <c r="D66" s="6"/>
      <c r="E66" s="6"/>
      <c r="F66" s="6"/>
      <c r="G66" s="6"/>
      <c r="H66" s="6"/>
      <c r="I66" s="5"/>
      <c r="J66" s="6"/>
      <c r="K66" s="172"/>
      <c r="L66" s="6"/>
    </row>
    <row r="67" ht="14.25" customHeight="1">
      <c r="A67" s="5"/>
      <c r="B67" s="6"/>
      <c r="C67" s="6"/>
      <c r="D67" s="6"/>
      <c r="E67" s="6"/>
      <c r="F67" s="6"/>
      <c r="G67" s="6"/>
      <c r="H67" s="6"/>
      <c r="I67" s="5"/>
      <c r="J67" s="6"/>
      <c r="K67" s="172"/>
      <c r="L67" s="6"/>
    </row>
    <row r="68" ht="14.25" customHeight="1">
      <c r="I68" s="5"/>
      <c r="J68" s="6"/>
      <c r="K68" s="183"/>
      <c r="L68" s="91"/>
      <c r="M68" s="92"/>
    </row>
    <row r="69" ht="14.25" customHeight="1">
      <c r="I69" s="5"/>
      <c r="J69" s="6"/>
      <c r="K69" s="183"/>
      <c r="L69" s="91"/>
      <c r="M69" s="92"/>
    </row>
    <row r="70" ht="14.25" customHeight="1">
      <c r="I70" s="5"/>
      <c r="J70" s="6"/>
      <c r="K70" s="172"/>
    </row>
    <row r="71" ht="14.25" customHeight="1">
      <c r="I71" s="73" t="s">
        <v>43</v>
      </c>
      <c r="J71" s="38"/>
      <c r="K71" s="68">
        <f>SUM(K63:K70)</f>
        <v>147000</v>
      </c>
      <c r="L71" s="6"/>
    </row>
    <row r="72" ht="14.25" customHeight="1">
      <c r="J72" s="131" t="s">
        <v>288</v>
      </c>
      <c r="K72" s="131">
        <v>111000.0</v>
      </c>
      <c r="L72" s="6"/>
    </row>
    <row r="73" ht="14.25" customHeight="1">
      <c r="J73" s="131" t="s">
        <v>289</v>
      </c>
      <c r="K73" s="194">
        <f>SUM(K64:K70)</f>
        <v>36000</v>
      </c>
      <c r="L73" s="6"/>
    </row>
    <row r="74" ht="14.25" customHeight="1">
      <c r="J74" s="6"/>
      <c r="K74" s="6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08"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  <mergeCell ref="O34:P34"/>
    <mergeCell ref="O35:P35"/>
    <mergeCell ref="O27:P27"/>
    <mergeCell ref="O28:P28"/>
    <mergeCell ref="O29:P29"/>
    <mergeCell ref="O30:P30"/>
    <mergeCell ref="O31:P31"/>
    <mergeCell ref="O32:P32"/>
    <mergeCell ref="O33:P33"/>
    <mergeCell ref="J38:K38"/>
    <mergeCell ref="J39:K39"/>
    <mergeCell ref="J40:K40"/>
    <mergeCell ref="J41:K41"/>
    <mergeCell ref="O41:P41"/>
    <mergeCell ref="J42:K42"/>
    <mergeCell ref="O42:P42"/>
    <mergeCell ref="J34:K34"/>
    <mergeCell ref="J35:K35"/>
    <mergeCell ref="J36:K36"/>
    <mergeCell ref="O36:P36"/>
    <mergeCell ref="J37:K37"/>
    <mergeCell ref="O37:P37"/>
    <mergeCell ref="O38:P38"/>
    <mergeCell ref="O47:P47"/>
    <mergeCell ref="O48:P48"/>
    <mergeCell ref="J44:K44"/>
    <mergeCell ref="J45:K45"/>
    <mergeCell ref="O45:P45"/>
    <mergeCell ref="J46:K46"/>
    <mergeCell ref="O46:P46"/>
    <mergeCell ref="J47:K47"/>
    <mergeCell ref="J48:K48"/>
    <mergeCell ref="J52:L52"/>
    <mergeCell ref="J53:L53"/>
    <mergeCell ref="J54:L54"/>
    <mergeCell ref="J55:L55"/>
    <mergeCell ref="I61:J61"/>
    <mergeCell ref="I62:K62"/>
    <mergeCell ref="I71:J71"/>
    <mergeCell ref="O53:Q53"/>
    <mergeCell ref="O54:Q54"/>
    <mergeCell ref="O55:Q55"/>
    <mergeCell ref="J49:K49"/>
    <mergeCell ref="O49:P49"/>
    <mergeCell ref="J50:K50"/>
    <mergeCell ref="O50:P50"/>
    <mergeCell ref="J51:K51"/>
    <mergeCell ref="O51:P51"/>
    <mergeCell ref="O52:Q52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J10:K10"/>
    <mergeCell ref="O10:P10"/>
    <mergeCell ref="D11:D13"/>
    <mergeCell ref="J11:K11"/>
    <mergeCell ref="O11:P11"/>
    <mergeCell ref="J12:L12"/>
    <mergeCell ref="B14:C14"/>
    <mergeCell ref="O14:P14"/>
    <mergeCell ref="J13:K13"/>
    <mergeCell ref="J14:K14"/>
    <mergeCell ref="J15:K15"/>
    <mergeCell ref="J16:K16"/>
    <mergeCell ref="J17:K17"/>
    <mergeCell ref="J18:K18"/>
    <mergeCell ref="J19:K19"/>
    <mergeCell ref="J20:L20"/>
    <mergeCell ref="J21:L21"/>
    <mergeCell ref="J22:L22"/>
    <mergeCell ref="J23:L23"/>
    <mergeCell ref="J24:L24"/>
    <mergeCell ref="J25:L25"/>
    <mergeCell ref="J26:K26"/>
    <mergeCell ref="J27:K27"/>
    <mergeCell ref="J28:K28"/>
    <mergeCell ref="J29:K29"/>
    <mergeCell ref="J30:K30"/>
    <mergeCell ref="J31:K31"/>
    <mergeCell ref="J32:K32"/>
    <mergeCell ref="J33:K33"/>
    <mergeCell ref="O39:P39"/>
    <mergeCell ref="O40:P40"/>
    <mergeCell ref="B43:B44"/>
    <mergeCell ref="C43:D44"/>
    <mergeCell ref="J43:K43"/>
    <mergeCell ref="O43:P43"/>
    <mergeCell ref="O44:P44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" width="15.43"/>
    <col customWidth="1" min="4" max="4" width="19.29"/>
    <col customWidth="1" min="5" max="9" width="8.71"/>
    <col customWidth="1" min="10" max="10" width="36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39" t="s">
        <v>345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140" t="s">
        <v>345</v>
      </c>
      <c r="K6" s="10"/>
      <c r="L6" s="11" t="s">
        <v>3</v>
      </c>
      <c r="M6" s="6"/>
      <c r="O6" s="141" t="s">
        <v>345</v>
      </c>
      <c r="P6" s="10"/>
      <c r="Q6" s="95" t="s">
        <v>3</v>
      </c>
      <c r="R6" s="9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14" t="s">
        <v>5</v>
      </c>
      <c r="K7" s="15"/>
      <c r="L7" s="16"/>
      <c r="M7" s="6"/>
      <c r="O7" s="97" t="s">
        <v>5</v>
      </c>
      <c r="P7" s="15"/>
      <c r="Q7" s="16"/>
      <c r="R7" s="96"/>
    </row>
    <row r="8" ht="14.25" customHeight="1">
      <c r="A8" s="5"/>
      <c r="B8" s="17"/>
      <c r="C8" s="17" t="s">
        <v>6</v>
      </c>
      <c r="D8" s="142">
        <v>0.0</v>
      </c>
      <c r="E8" s="6"/>
      <c r="F8" s="6"/>
      <c r="G8" s="6"/>
      <c r="H8" s="6"/>
      <c r="I8" s="6"/>
      <c r="J8" s="143" t="s">
        <v>346</v>
      </c>
      <c r="K8" s="98"/>
      <c r="L8" s="144"/>
      <c r="M8" s="6"/>
      <c r="O8" s="145" t="s">
        <v>346</v>
      </c>
      <c r="P8" s="98"/>
      <c r="Q8" s="177">
        <v>41000.0</v>
      </c>
      <c r="R8" s="9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132"/>
      <c r="L9" s="146"/>
      <c r="M9" s="6"/>
      <c r="O9" s="201" t="s">
        <v>347</v>
      </c>
      <c r="Q9" s="202">
        <v>285000.0</v>
      </c>
      <c r="R9" s="96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22"/>
      <c r="L10" s="23"/>
      <c r="M10" s="6"/>
      <c r="O10" s="173"/>
      <c r="Q10" s="178"/>
      <c r="R10" s="96"/>
    </row>
    <row r="11" ht="14.25" customHeight="1">
      <c r="A11" s="5"/>
      <c r="B11" s="17"/>
      <c r="C11" s="18"/>
      <c r="D11" s="88">
        <v>40000.0</v>
      </c>
      <c r="E11" s="6"/>
      <c r="F11" s="6"/>
      <c r="G11" s="6"/>
      <c r="H11" s="6"/>
      <c r="I11" s="6"/>
      <c r="J11" s="103"/>
      <c r="K11" s="104"/>
      <c r="L11" s="23"/>
      <c r="M11" s="179"/>
      <c r="O11" s="105"/>
      <c r="P11" s="104"/>
      <c r="Q11" s="102"/>
      <c r="R11" s="106">
        <f>SUM(Q8:Q11)</f>
        <v>326000</v>
      </c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8" t="s">
        <v>10</v>
      </c>
      <c r="K12" s="29"/>
      <c r="L12" s="30"/>
      <c r="M12" s="6"/>
      <c r="O12" s="107" t="s">
        <v>10</v>
      </c>
      <c r="P12" s="29"/>
      <c r="Q12" s="30"/>
      <c r="R12" s="96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43"/>
      <c r="K13" s="98"/>
      <c r="L13" s="144"/>
      <c r="M13" s="6"/>
      <c r="O13" s="145"/>
      <c r="P13" s="98"/>
      <c r="Q13" s="100"/>
      <c r="R13" s="96"/>
    </row>
    <row r="14" ht="14.25" customHeight="1">
      <c r="A14" s="5"/>
      <c r="B14" s="32" t="s">
        <v>11</v>
      </c>
      <c r="C14" s="33"/>
      <c r="D14" s="34">
        <f>SUM(D8:D13)</f>
        <v>140000</v>
      </c>
      <c r="E14" s="6"/>
      <c r="F14" s="6"/>
      <c r="G14" s="6"/>
      <c r="H14" s="6"/>
      <c r="I14" s="6"/>
      <c r="J14" s="132" t="s">
        <v>348</v>
      </c>
      <c r="L14" s="146"/>
      <c r="M14" s="6"/>
      <c r="O14" s="173" t="s">
        <v>349</v>
      </c>
      <c r="Q14" s="102"/>
      <c r="R14" s="9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132" t="s">
        <v>316</v>
      </c>
      <c r="L15" s="146">
        <v>40000.0</v>
      </c>
      <c r="M15" s="131" t="s">
        <v>342</v>
      </c>
      <c r="O15" s="101"/>
      <c r="Q15" s="102"/>
      <c r="R15" s="9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132" t="s">
        <v>350</v>
      </c>
      <c r="L16" s="146">
        <v>3900.0</v>
      </c>
      <c r="M16" s="6"/>
      <c r="O16" s="101"/>
      <c r="Q16" s="102"/>
      <c r="R16" s="96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132" t="s">
        <v>351</v>
      </c>
      <c r="L17" s="146">
        <v>6200.0</v>
      </c>
      <c r="M17" s="6"/>
      <c r="O17" s="101"/>
      <c r="Q17" s="102"/>
      <c r="R17" s="96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101"/>
      <c r="Q18" s="102"/>
      <c r="R18" s="96"/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23"/>
      <c r="M19" s="179">
        <f>L15+L16+L17</f>
        <v>50100</v>
      </c>
      <c r="O19" s="101"/>
      <c r="Q19" s="102"/>
      <c r="R19" s="106">
        <f>SUM(Q13:Q18)</f>
        <v>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108"/>
      <c r="P20" s="76"/>
      <c r="Q20" s="77"/>
      <c r="R20" s="109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110"/>
      <c r="P21" s="37"/>
      <c r="Q21" s="38"/>
      <c r="R21" s="109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111"/>
      <c r="P22" s="37"/>
      <c r="Q22" s="38"/>
      <c r="R22" s="112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147" t="s">
        <v>12</v>
      </c>
      <c r="K23" s="86"/>
      <c r="L23" s="55"/>
      <c r="M23" s="148">
        <f>M11+M19</f>
        <v>50100</v>
      </c>
      <c r="N23" s="78"/>
      <c r="O23" s="113" t="s">
        <v>12</v>
      </c>
      <c r="P23" s="37"/>
      <c r="Q23" s="38"/>
      <c r="R23" s="114">
        <f>R11+R19</f>
        <v>326000</v>
      </c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49" t="s">
        <v>172</v>
      </c>
      <c r="K24" s="37"/>
      <c r="L24" s="38"/>
      <c r="M24" s="150"/>
      <c r="O24" s="173"/>
      <c r="Q24" s="198"/>
      <c r="R24" s="96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51" t="s">
        <v>173</v>
      </c>
      <c r="K25" s="37"/>
      <c r="L25" s="38"/>
      <c r="M25" s="152"/>
      <c r="O25" s="101"/>
      <c r="Q25" s="116"/>
      <c r="R25" s="96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5" t="s">
        <v>352</v>
      </c>
      <c r="L26" s="136">
        <v>4400.0</v>
      </c>
      <c r="M26" s="6"/>
      <c r="O26" s="101"/>
      <c r="Q26" s="116"/>
      <c r="R26" s="9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135" t="s">
        <v>353</v>
      </c>
      <c r="L27" s="134">
        <v>3000.0</v>
      </c>
      <c r="M27" s="6"/>
      <c r="O27" s="101"/>
      <c r="Q27" s="116"/>
      <c r="R27" s="96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135" t="s">
        <v>354</v>
      </c>
      <c r="L28" s="134">
        <v>2000.0</v>
      </c>
      <c r="M28" s="6"/>
      <c r="O28" s="117"/>
      <c r="P28" s="46"/>
      <c r="Q28" s="116"/>
      <c r="R28" s="96"/>
    </row>
    <row r="29" ht="14.25" customHeight="1">
      <c r="A29" s="6"/>
      <c r="B29" s="153" t="s">
        <v>345</v>
      </c>
      <c r="C29" s="8"/>
      <c r="D29" s="6"/>
      <c r="E29" s="6"/>
      <c r="F29" s="6"/>
      <c r="G29" s="6"/>
      <c r="H29" s="6"/>
      <c r="I29" s="6"/>
      <c r="J29" s="135" t="s">
        <v>355</v>
      </c>
      <c r="L29" s="134">
        <v>1600.0</v>
      </c>
      <c r="M29" s="6"/>
      <c r="O29" s="117"/>
      <c r="P29" s="46"/>
      <c r="Q29" s="116"/>
      <c r="R29" s="96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135"/>
      <c r="K30" s="46"/>
      <c r="L30" s="134"/>
      <c r="M30" s="6"/>
      <c r="O30" s="117"/>
      <c r="P30" s="46"/>
      <c r="Q30" s="116"/>
      <c r="R30" s="96"/>
    </row>
    <row r="31" ht="14.25" customHeight="1">
      <c r="A31" s="5"/>
      <c r="B31" s="25"/>
      <c r="C31" s="27" t="s">
        <v>3</v>
      </c>
      <c r="D31" s="154" t="s">
        <v>356</v>
      </c>
      <c r="E31" s="6"/>
      <c r="F31" s="6"/>
      <c r="G31" s="6"/>
      <c r="H31" s="6"/>
      <c r="I31" s="6"/>
      <c r="J31" s="135"/>
      <c r="K31" s="46"/>
      <c r="L31" s="134"/>
      <c r="M31" s="6"/>
      <c r="O31" s="117"/>
      <c r="P31" s="46"/>
      <c r="Q31" s="116"/>
      <c r="R31" s="96"/>
    </row>
    <row r="32" ht="14.25" customHeight="1">
      <c r="A32" s="5"/>
      <c r="B32" s="24" t="s">
        <v>24</v>
      </c>
      <c r="C32" s="44">
        <v>41000.0</v>
      </c>
      <c r="D32" s="180" t="s">
        <v>25</v>
      </c>
      <c r="E32" s="6"/>
      <c r="F32" s="6"/>
      <c r="G32" s="6"/>
      <c r="H32" s="6"/>
      <c r="I32" s="6"/>
      <c r="J32" s="22"/>
      <c r="L32" s="41"/>
      <c r="M32" s="6"/>
      <c r="O32" s="101"/>
      <c r="Q32" s="116"/>
      <c r="R32" s="96"/>
    </row>
    <row r="33" ht="14.25" customHeight="1">
      <c r="A33" s="6"/>
      <c r="B33" s="44" t="s">
        <v>26</v>
      </c>
      <c r="C33" s="44">
        <v>4000.0</v>
      </c>
      <c r="D33" s="180" t="s">
        <v>25</v>
      </c>
      <c r="E33" s="6"/>
      <c r="F33" s="6"/>
      <c r="G33" s="6"/>
      <c r="H33" s="6"/>
      <c r="I33" s="6"/>
      <c r="J33" s="22"/>
      <c r="L33" s="41"/>
      <c r="M33" s="6"/>
      <c r="O33" s="101"/>
      <c r="Q33" s="116"/>
      <c r="R33" s="96"/>
    </row>
    <row r="34" ht="14.25" customHeight="1">
      <c r="A34" s="5"/>
      <c r="B34" s="44" t="s">
        <v>27</v>
      </c>
      <c r="C34" s="44">
        <v>1000.0</v>
      </c>
      <c r="D34" s="156" t="s">
        <v>25</v>
      </c>
      <c r="E34" s="6"/>
      <c r="F34" s="6"/>
      <c r="G34" s="6"/>
      <c r="H34" s="6"/>
      <c r="I34" s="6"/>
      <c r="J34" s="22"/>
      <c r="L34" s="41"/>
      <c r="M34" s="6"/>
      <c r="O34" s="101"/>
      <c r="Q34" s="116"/>
      <c r="R34" s="96"/>
    </row>
    <row r="35" ht="14.25" customHeight="1">
      <c r="A35" s="5"/>
      <c r="B35" s="44" t="s">
        <v>29</v>
      </c>
      <c r="C35" s="157">
        <v>49000.0</v>
      </c>
      <c r="D35" s="156" t="s">
        <v>25</v>
      </c>
      <c r="E35" s="6"/>
      <c r="F35" s="6"/>
      <c r="G35" s="6"/>
      <c r="H35" s="6"/>
      <c r="I35" s="6"/>
      <c r="J35" s="22"/>
      <c r="L35" s="41"/>
      <c r="M35" s="6"/>
      <c r="O35" s="101"/>
      <c r="Q35" s="116"/>
      <c r="R35" s="96"/>
    </row>
    <row r="36" ht="14.25" customHeight="1">
      <c r="A36" s="5"/>
      <c r="B36" s="44" t="s">
        <v>31</v>
      </c>
      <c r="C36" s="44">
        <v>5000.0</v>
      </c>
      <c r="D36" s="156" t="s">
        <v>25</v>
      </c>
      <c r="E36" s="6"/>
      <c r="F36" s="6"/>
      <c r="G36" s="6"/>
      <c r="H36" s="6"/>
      <c r="I36" s="6"/>
      <c r="J36" s="22"/>
      <c r="L36" s="41"/>
      <c r="M36" s="6"/>
      <c r="O36" s="101"/>
      <c r="Q36" s="116"/>
      <c r="R36" s="96"/>
    </row>
    <row r="37" ht="14.25" customHeight="1">
      <c r="A37" s="5"/>
      <c r="B37" s="44" t="s">
        <v>33</v>
      </c>
      <c r="C37" s="157">
        <v>10000.0</v>
      </c>
      <c r="D37" s="156" t="s">
        <v>25</v>
      </c>
      <c r="E37" s="6"/>
      <c r="F37" s="6"/>
      <c r="G37" s="6"/>
      <c r="H37" s="6"/>
      <c r="I37" s="6"/>
      <c r="J37" s="22"/>
      <c r="K37" s="46"/>
      <c r="L37" s="47"/>
      <c r="M37" s="6"/>
      <c r="O37" s="101"/>
      <c r="P37" s="46"/>
      <c r="Q37" s="118"/>
      <c r="R37" s="96"/>
    </row>
    <row r="38" ht="14.25" customHeight="1">
      <c r="A38" s="5"/>
      <c r="B38" s="157" t="s">
        <v>181</v>
      </c>
      <c r="C38" s="157">
        <v>10000.0</v>
      </c>
      <c r="D38" s="156" t="s">
        <v>25</v>
      </c>
      <c r="E38" s="6"/>
      <c r="F38" s="6"/>
      <c r="G38" s="6"/>
      <c r="H38" s="6"/>
      <c r="I38" s="6"/>
      <c r="J38" s="158" t="s">
        <v>117</v>
      </c>
      <c r="K38" s="38"/>
      <c r="L38" s="49">
        <f>SUM(L24:L36)</f>
        <v>11000</v>
      </c>
      <c r="M38" s="6"/>
      <c r="O38" s="159" t="s">
        <v>117</v>
      </c>
      <c r="P38" s="38"/>
      <c r="Q38" s="120">
        <f>SUM(Q24:Q36)</f>
        <v>0</v>
      </c>
      <c r="R38" s="96"/>
    </row>
    <row r="39" ht="14.25" customHeight="1">
      <c r="A39" s="5"/>
      <c r="B39" s="157" t="s">
        <v>183</v>
      </c>
      <c r="C39" s="157">
        <v>7000.0</v>
      </c>
      <c r="D39" s="156" t="s">
        <v>25</v>
      </c>
      <c r="E39" s="6"/>
      <c r="F39" s="6"/>
      <c r="G39" s="6"/>
      <c r="H39" s="6"/>
      <c r="I39" s="6"/>
      <c r="J39" s="135" t="s">
        <v>357</v>
      </c>
      <c r="L39" s="136">
        <v>8900.0</v>
      </c>
      <c r="M39" s="6"/>
      <c r="O39" s="137" t="s">
        <v>358</v>
      </c>
      <c r="Q39" s="138">
        <v>30000.0</v>
      </c>
      <c r="R39" s="96"/>
    </row>
    <row r="40" ht="14.25" customHeight="1">
      <c r="A40" s="5"/>
      <c r="B40" s="18" t="s">
        <v>104</v>
      </c>
      <c r="C40" s="18">
        <v>0.0</v>
      </c>
      <c r="D40" s="156" t="s">
        <v>25</v>
      </c>
      <c r="E40" s="6"/>
      <c r="F40" s="6"/>
      <c r="G40" s="6"/>
      <c r="H40" s="6"/>
      <c r="I40" s="6"/>
      <c r="J40" s="135" t="s">
        <v>359</v>
      </c>
      <c r="L40" s="134">
        <v>10000.0</v>
      </c>
      <c r="M40" s="6"/>
      <c r="O40" s="137"/>
      <c r="Q40" s="185"/>
      <c r="R40" s="96"/>
    </row>
    <row r="41" ht="14.25" customHeight="1">
      <c r="A41" s="5"/>
      <c r="B41" s="157" t="s">
        <v>325</v>
      </c>
      <c r="C41" s="157">
        <v>13000.0</v>
      </c>
      <c r="D41" s="156" t="s">
        <v>25</v>
      </c>
      <c r="E41" s="6"/>
      <c r="F41" s="6"/>
      <c r="G41" s="6"/>
      <c r="H41" s="6"/>
      <c r="I41" s="6"/>
      <c r="J41" s="135" t="s">
        <v>354</v>
      </c>
      <c r="L41" s="134">
        <v>1700.0</v>
      </c>
      <c r="M41" s="6"/>
      <c r="O41" s="117"/>
      <c r="Q41" s="116"/>
      <c r="R41" s="96"/>
    </row>
    <row r="42" ht="14.25" customHeight="1">
      <c r="A42" s="5"/>
      <c r="B42" s="187" t="s">
        <v>326</v>
      </c>
      <c r="C42" s="187">
        <v>0.0</v>
      </c>
      <c r="D42" s="156" t="s">
        <v>25</v>
      </c>
      <c r="E42" s="6"/>
      <c r="F42" s="6"/>
      <c r="G42" s="6"/>
      <c r="H42" s="6"/>
      <c r="I42" s="6"/>
      <c r="J42" s="135"/>
      <c r="L42" s="134"/>
      <c r="M42" s="6"/>
      <c r="O42" s="117"/>
      <c r="Q42" s="116"/>
      <c r="R42" s="96"/>
    </row>
    <row r="43" ht="14.25" customHeight="1">
      <c r="A43" s="5"/>
      <c r="B43" s="189" t="s">
        <v>11</v>
      </c>
      <c r="C43" s="160">
        <f>SUM(C32:C42)</f>
        <v>140000</v>
      </c>
      <c r="D43" s="55"/>
      <c r="E43" s="6"/>
      <c r="F43" s="6"/>
      <c r="G43" s="6"/>
      <c r="H43" s="6"/>
      <c r="I43" s="6"/>
      <c r="J43" s="135"/>
      <c r="L43" s="134"/>
      <c r="M43" s="6"/>
      <c r="O43" s="117"/>
      <c r="Q43" s="116"/>
      <c r="R43" s="96"/>
    </row>
    <row r="44" ht="14.25" customHeight="1">
      <c r="A44" s="5"/>
      <c r="B44" s="56"/>
      <c r="C44" s="57"/>
      <c r="D44" s="58"/>
      <c r="E44" s="6"/>
      <c r="F44" s="6"/>
      <c r="G44" s="6"/>
      <c r="H44" s="6"/>
      <c r="I44" s="6"/>
      <c r="J44" s="135"/>
      <c r="L44" s="134"/>
      <c r="M44" s="6"/>
      <c r="O44" s="117"/>
      <c r="Q44" s="116"/>
      <c r="R44" s="96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22"/>
      <c r="N45" s="6"/>
      <c r="O45" s="117"/>
      <c r="Q45" s="116"/>
      <c r="R45" s="101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50"/>
      <c r="L46" s="80"/>
      <c r="M46" s="22"/>
      <c r="N46" s="6"/>
      <c r="O46" s="117"/>
      <c r="Q46" s="122"/>
      <c r="R46" s="101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50"/>
      <c r="L47" s="41"/>
      <c r="M47" s="22"/>
      <c r="O47" s="117"/>
      <c r="Q47" s="116"/>
      <c r="R47" s="101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81"/>
      <c r="K48" s="46"/>
      <c r="L48" s="19"/>
      <c r="M48" s="22"/>
      <c r="O48" s="123"/>
      <c r="P48" s="46"/>
      <c r="Q48" s="99"/>
      <c r="R48" s="101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81"/>
      <c r="K49" s="46"/>
      <c r="L49" s="19"/>
      <c r="M49" s="22"/>
      <c r="O49" s="123"/>
      <c r="P49" s="46"/>
      <c r="Q49" s="99"/>
      <c r="R49" s="101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50"/>
      <c r="L50" s="47"/>
      <c r="M50" s="6"/>
      <c r="O50" s="117"/>
      <c r="Q50" s="118"/>
      <c r="R50" s="96"/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161" t="s">
        <v>118</v>
      </c>
      <c r="K51" s="60"/>
      <c r="L51" s="82">
        <f>SUM(L39:L50)</f>
        <v>20600</v>
      </c>
      <c r="M51" s="6"/>
      <c r="O51" s="162" t="s">
        <v>118</v>
      </c>
      <c r="P51" s="60"/>
      <c r="Q51" s="125">
        <f>SUM(Q39:Q50)</f>
        <v>30000</v>
      </c>
      <c r="R51" s="96"/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163" t="s">
        <v>119</v>
      </c>
      <c r="K52" s="37"/>
      <c r="L52" s="38"/>
      <c r="M52" s="83">
        <f>L38+L51</f>
        <v>31600</v>
      </c>
      <c r="O52" s="164" t="s">
        <v>119</v>
      </c>
      <c r="P52" s="37"/>
      <c r="Q52" s="38"/>
      <c r="R52" s="112">
        <f>Q38+Q51</f>
        <v>30000</v>
      </c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165" t="s">
        <v>360</v>
      </c>
      <c r="K53" s="37"/>
      <c r="L53" s="38"/>
      <c r="M53" s="166">
        <f>M23-M52</f>
        <v>18500</v>
      </c>
      <c r="O53" s="126" t="s">
        <v>39</v>
      </c>
      <c r="P53" s="37"/>
      <c r="Q53" s="38"/>
      <c r="R53" s="102">
        <f>R23-R52</f>
        <v>296000</v>
      </c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167" t="s">
        <v>343</v>
      </c>
      <c r="K54" s="37"/>
      <c r="L54" s="84"/>
      <c r="M54" s="168"/>
      <c r="N54" s="78"/>
      <c r="O54" s="127" t="s">
        <v>40</v>
      </c>
      <c r="P54" s="37"/>
      <c r="Q54" s="84"/>
      <c r="R54" s="128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169" t="s">
        <v>344</v>
      </c>
      <c r="K55" s="37"/>
      <c r="L55" s="84"/>
      <c r="M55" s="170"/>
      <c r="N55" s="78"/>
      <c r="O55" s="127" t="s">
        <v>56</v>
      </c>
      <c r="P55" s="37"/>
      <c r="Q55" s="84"/>
      <c r="R55" s="128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131" t="s">
        <v>253</v>
      </c>
      <c r="K56" s="131">
        <v>600000.0</v>
      </c>
      <c r="L56" s="6"/>
      <c r="M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131" t="s">
        <v>227</v>
      </c>
      <c r="K57" s="131">
        <v>246000.0</v>
      </c>
      <c r="L57" s="6"/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182">
        <f>K56+K57</f>
        <v>846000</v>
      </c>
      <c r="L58" s="6"/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171" t="s">
        <v>345</v>
      </c>
      <c r="J61" s="70"/>
      <c r="K61" s="44" t="s">
        <v>3</v>
      </c>
      <c r="L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71" t="s">
        <v>42</v>
      </c>
      <c r="J62" s="29"/>
      <c r="K62" s="72"/>
      <c r="L62" s="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17"/>
      <c r="J63" s="4"/>
      <c r="K63" s="191">
        <v>111000.0</v>
      </c>
      <c r="L63" s="6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5"/>
      <c r="J64" s="6"/>
      <c r="K64" s="172">
        <v>36000.0</v>
      </c>
      <c r="L64" s="6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5"/>
      <c r="J65" s="6"/>
      <c r="K65" s="183">
        <v>5000.0</v>
      </c>
      <c r="L65" s="6"/>
    </row>
    <row r="66" ht="14.25" customHeight="1">
      <c r="A66" s="5"/>
      <c r="B66" s="6"/>
      <c r="C66" s="6"/>
      <c r="D66" s="6"/>
      <c r="E66" s="6"/>
      <c r="F66" s="6"/>
      <c r="G66" s="6"/>
      <c r="H66" s="6"/>
      <c r="I66" s="5"/>
      <c r="J66" s="6"/>
      <c r="K66" s="172"/>
      <c r="L66" s="6"/>
    </row>
    <row r="67" ht="14.25" customHeight="1">
      <c r="A67" s="5"/>
      <c r="B67" s="6"/>
      <c r="C67" s="6"/>
      <c r="D67" s="6"/>
      <c r="E67" s="6"/>
      <c r="F67" s="6"/>
      <c r="G67" s="6"/>
      <c r="H67" s="6"/>
      <c r="I67" s="5"/>
      <c r="J67" s="6"/>
      <c r="K67" s="172"/>
      <c r="L67" s="6"/>
    </row>
    <row r="68" ht="14.25" customHeight="1">
      <c r="I68" s="5"/>
      <c r="J68" s="6"/>
      <c r="K68" s="183"/>
      <c r="L68" s="91"/>
      <c r="M68" s="92"/>
    </row>
    <row r="69" ht="14.25" customHeight="1">
      <c r="I69" s="5"/>
      <c r="J69" s="6"/>
      <c r="K69" s="183"/>
      <c r="L69" s="91"/>
      <c r="M69" s="92"/>
    </row>
    <row r="70" ht="14.25" customHeight="1">
      <c r="I70" s="5"/>
      <c r="J70" s="6"/>
      <c r="K70" s="172"/>
    </row>
    <row r="71" ht="14.25" customHeight="1">
      <c r="I71" s="73" t="s">
        <v>43</v>
      </c>
      <c r="J71" s="38"/>
      <c r="K71" s="68">
        <f>SUM(K63:K70)</f>
        <v>152000</v>
      </c>
      <c r="L71" s="6"/>
    </row>
    <row r="72" ht="14.25" customHeight="1">
      <c r="J72" s="131" t="s">
        <v>288</v>
      </c>
      <c r="K72" s="131">
        <v>111000.0</v>
      </c>
      <c r="L72" s="6"/>
    </row>
    <row r="73" ht="14.25" customHeight="1">
      <c r="J73" s="131" t="s">
        <v>289</v>
      </c>
      <c r="K73" s="194">
        <f>SUM(K64:K70)</f>
        <v>41000</v>
      </c>
      <c r="L73" s="6"/>
    </row>
    <row r="74" ht="14.25" customHeight="1">
      <c r="J74" s="6"/>
      <c r="K74" s="6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08"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  <mergeCell ref="O34:P34"/>
    <mergeCell ref="O35:P35"/>
    <mergeCell ref="O27:P27"/>
    <mergeCell ref="O28:P28"/>
    <mergeCell ref="O29:P29"/>
    <mergeCell ref="O30:P30"/>
    <mergeCell ref="O31:P31"/>
    <mergeCell ref="O32:P32"/>
    <mergeCell ref="O33:P33"/>
    <mergeCell ref="J38:K38"/>
    <mergeCell ref="J39:K39"/>
    <mergeCell ref="J40:K40"/>
    <mergeCell ref="J41:K41"/>
    <mergeCell ref="O41:P41"/>
    <mergeCell ref="J42:K42"/>
    <mergeCell ref="O42:P42"/>
    <mergeCell ref="J34:K34"/>
    <mergeCell ref="J35:K35"/>
    <mergeCell ref="J36:K36"/>
    <mergeCell ref="O36:P36"/>
    <mergeCell ref="J37:K37"/>
    <mergeCell ref="O37:P37"/>
    <mergeCell ref="O38:P38"/>
    <mergeCell ref="O47:P47"/>
    <mergeCell ref="O48:P48"/>
    <mergeCell ref="J44:K44"/>
    <mergeCell ref="J45:K45"/>
    <mergeCell ref="O45:P45"/>
    <mergeCell ref="J46:K46"/>
    <mergeCell ref="O46:P46"/>
    <mergeCell ref="J47:K47"/>
    <mergeCell ref="J48:K48"/>
    <mergeCell ref="J52:L52"/>
    <mergeCell ref="J53:L53"/>
    <mergeCell ref="J54:L54"/>
    <mergeCell ref="J55:L55"/>
    <mergeCell ref="I61:J61"/>
    <mergeCell ref="I62:K62"/>
    <mergeCell ref="I71:J71"/>
    <mergeCell ref="O53:Q53"/>
    <mergeCell ref="O54:Q54"/>
    <mergeCell ref="O55:Q55"/>
    <mergeCell ref="J49:K49"/>
    <mergeCell ref="O49:P49"/>
    <mergeCell ref="J50:K50"/>
    <mergeCell ref="O50:P50"/>
    <mergeCell ref="J51:K51"/>
    <mergeCell ref="O51:P51"/>
    <mergeCell ref="O52:Q52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J10:K10"/>
    <mergeCell ref="O10:P10"/>
    <mergeCell ref="D11:D13"/>
    <mergeCell ref="J11:K11"/>
    <mergeCell ref="O11:P11"/>
    <mergeCell ref="J12:L12"/>
    <mergeCell ref="B14:C14"/>
    <mergeCell ref="O14:P14"/>
    <mergeCell ref="J13:K13"/>
    <mergeCell ref="J14:K14"/>
    <mergeCell ref="J15:K15"/>
    <mergeCell ref="J16:K16"/>
    <mergeCell ref="J17:K17"/>
    <mergeCell ref="J18:K18"/>
    <mergeCell ref="J19:K19"/>
    <mergeCell ref="J20:L20"/>
    <mergeCell ref="J21:L21"/>
    <mergeCell ref="J22:L22"/>
    <mergeCell ref="J23:L23"/>
    <mergeCell ref="J24:L24"/>
    <mergeCell ref="J25:L25"/>
    <mergeCell ref="J26:K26"/>
    <mergeCell ref="J27:K27"/>
    <mergeCell ref="J28:K28"/>
    <mergeCell ref="J29:K29"/>
    <mergeCell ref="J30:K30"/>
    <mergeCell ref="J31:K31"/>
    <mergeCell ref="J32:K32"/>
    <mergeCell ref="J33:K33"/>
    <mergeCell ref="O39:P39"/>
    <mergeCell ref="O40:P40"/>
    <mergeCell ref="B43:B44"/>
    <mergeCell ref="C43:D44"/>
    <mergeCell ref="J43:K43"/>
    <mergeCell ref="O43:P43"/>
    <mergeCell ref="O44:P44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" width="15.43"/>
    <col customWidth="1" min="4" max="4" width="19.29"/>
    <col customWidth="1" min="5" max="9" width="8.71"/>
    <col customWidth="1" min="10" max="10" width="36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39" t="s">
        <v>361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140" t="s">
        <v>361</v>
      </c>
      <c r="K6" s="10"/>
      <c r="L6" s="11" t="s">
        <v>3</v>
      </c>
      <c r="M6" s="6"/>
      <c r="O6" s="141" t="s">
        <v>361</v>
      </c>
      <c r="P6" s="10"/>
      <c r="Q6" s="95" t="s">
        <v>3</v>
      </c>
      <c r="R6" s="96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203" t="s">
        <v>362</v>
      </c>
      <c r="K7" s="15"/>
      <c r="L7" s="16"/>
      <c r="M7" s="6"/>
      <c r="O7" s="97" t="s">
        <v>5</v>
      </c>
      <c r="P7" s="15"/>
      <c r="Q7" s="16"/>
      <c r="R7" s="96"/>
    </row>
    <row r="8" ht="14.25" customHeight="1">
      <c r="A8" s="5"/>
      <c r="B8" s="17"/>
      <c r="C8" s="17" t="s">
        <v>6</v>
      </c>
      <c r="D8" s="142">
        <v>0.0</v>
      </c>
      <c r="E8" s="6"/>
      <c r="F8" s="6"/>
      <c r="G8" s="6"/>
      <c r="H8" s="6"/>
      <c r="I8" s="6"/>
      <c r="J8" s="143" t="s">
        <v>123</v>
      </c>
      <c r="K8" s="98"/>
      <c r="L8" s="144">
        <v>18500.0</v>
      </c>
      <c r="M8" s="6"/>
      <c r="O8" s="145" t="s">
        <v>123</v>
      </c>
      <c r="P8" s="98"/>
      <c r="Q8" s="177">
        <v>296000.0</v>
      </c>
      <c r="R8" s="96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132" t="s">
        <v>363</v>
      </c>
      <c r="L9" s="146">
        <v>17625.0</v>
      </c>
      <c r="M9" s="6"/>
      <c r="O9" s="101"/>
      <c r="Q9" s="102"/>
      <c r="R9" s="96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22"/>
      <c r="L10" s="23"/>
      <c r="M10" s="6"/>
      <c r="O10" s="101"/>
      <c r="Q10" s="102"/>
      <c r="R10" s="96"/>
    </row>
    <row r="11" ht="14.25" customHeight="1">
      <c r="A11" s="5"/>
      <c r="B11" s="17"/>
      <c r="C11" s="18"/>
      <c r="D11" s="88">
        <v>40000.0</v>
      </c>
      <c r="E11" s="6"/>
      <c r="F11" s="6"/>
      <c r="G11" s="6"/>
      <c r="H11" s="6"/>
      <c r="I11" s="6"/>
      <c r="J11" s="103"/>
      <c r="K11" s="104"/>
      <c r="L11" s="23"/>
      <c r="M11" s="179">
        <f>SUM(L8:L11)</f>
        <v>36125</v>
      </c>
      <c r="O11" s="105"/>
      <c r="P11" s="104"/>
      <c r="Q11" s="102"/>
      <c r="R11" s="106">
        <f>SUM(Q8:Q11)</f>
        <v>296000</v>
      </c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04" t="s">
        <v>364</v>
      </c>
      <c r="K12" s="29"/>
      <c r="L12" s="30"/>
      <c r="M12" s="6"/>
      <c r="O12" s="107" t="s">
        <v>10</v>
      </c>
      <c r="P12" s="29"/>
      <c r="Q12" s="30"/>
      <c r="R12" s="96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43"/>
      <c r="K13" s="98"/>
      <c r="L13" s="144"/>
      <c r="M13" s="6"/>
      <c r="O13" s="145"/>
      <c r="P13" s="98"/>
      <c r="Q13" s="100"/>
      <c r="R13" s="96"/>
    </row>
    <row r="14" ht="14.25" customHeight="1">
      <c r="A14" s="5"/>
      <c r="B14" s="32" t="s">
        <v>11</v>
      </c>
      <c r="C14" s="33"/>
      <c r="D14" s="34">
        <f>SUM(D8:D13)</f>
        <v>140000</v>
      </c>
      <c r="E14" s="6"/>
      <c r="F14" s="6"/>
      <c r="G14" s="6"/>
      <c r="H14" s="6"/>
      <c r="I14" s="6"/>
      <c r="J14" s="132" t="s">
        <v>365</v>
      </c>
      <c r="L14" s="146"/>
      <c r="M14" s="6"/>
      <c r="O14" s="173" t="s">
        <v>366</v>
      </c>
      <c r="Q14" s="102"/>
      <c r="R14" s="96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132" t="s">
        <v>316</v>
      </c>
      <c r="L15" s="23"/>
      <c r="M15" s="6"/>
      <c r="O15" s="101"/>
      <c r="Q15" s="102"/>
      <c r="R15" s="96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L16" s="23"/>
      <c r="M16" s="6"/>
      <c r="O16" s="101"/>
      <c r="Q16" s="102"/>
      <c r="R16" s="96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22"/>
      <c r="L17" s="23"/>
      <c r="M17" s="6"/>
      <c r="O17" s="101"/>
      <c r="Q17" s="102"/>
      <c r="R17" s="96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101"/>
      <c r="Q18" s="102"/>
      <c r="R18" s="96"/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23"/>
      <c r="M19" s="179">
        <v>49000.0</v>
      </c>
      <c r="O19" s="101"/>
      <c r="Q19" s="102"/>
      <c r="R19" s="106">
        <f>SUM(Q13:Q18)</f>
        <v>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108"/>
      <c r="P20" s="76"/>
      <c r="Q20" s="77"/>
      <c r="R20" s="109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110"/>
      <c r="P21" s="37"/>
      <c r="Q21" s="38"/>
      <c r="R21" s="109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111"/>
      <c r="P22" s="37"/>
      <c r="Q22" s="38"/>
      <c r="R22" s="112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147" t="s">
        <v>12</v>
      </c>
      <c r="K23" s="86"/>
      <c r="L23" s="55"/>
      <c r="M23" s="148">
        <f>M11+M19</f>
        <v>85125</v>
      </c>
      <c r="N23" s="78"/>
      <c r="O23" s="113" t="s">
        <v>12</v>
      </c>
      <c r="P23" s="37"/>
      <c r="Q23" s="38"/>
      <c r="R23" s="114">
        <f>R11+R19</f>
        <v>296000</v>
      </c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49" t="s">
        <v>172</v>
      </c>
      <c r="K24" s="37"/>
      <c r="L24" s="38"/>
      <c r="M24" s="150"/>
      <c r="O24" s="173"/>
      <c r="Q24" s="198"/>
      <c r="R24" s="96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51" t="s">
        <v>173</v>
      </c>
      <c r="K25" s="37"/>
      <c r="L25" s="38"/>
      <c r="M25" s="152"/>
      <c r="O25" s="101"/>
      <c r="Q25" s="116"/>
      <c r="R25" s="96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5" t="s">
        <v>367</v>
      </c>
      <c r="L26" s="136">
        <v>1500.0</v>
      </c>
      <c r="M26" s="6"/>
      <c r="O26" s="101"/>
      <c r="Q26" s="116"/>
      <c r="R26" s="96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205" t="s">
        <v>368</v>
      </c>
      <c r="L27" s="206">
        <v>2100.0</v>
      </c>
      <c r="M27" s="6"/>
      <c r="O27" s="101"/>
      <c r="Q27" s="116"/>
      <c r="R27" s="96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205" t="s">
        <v>369</v>
      </c>
      <c r="K28" s="46"/>
      <c r="L28" s="206">
        <v>1400.0</v>
      </c>
      <c r="M28" s="6"/>
      <c r="O28" s="117"/>
      <c r="P28" s="46"/>
      <c r="Q28" s="116"/>
      <c r="R28" s="96"/>
    </row>
    <row r="29" ht="14.25" customHeight="1">
      <c r="A29" s="6"/>
      <c r="B29" s="153" t="s">
        <v>361</v>
      </c>
      <c r="C29" s="8"/>
      <c r="D29" s="6"/>
      <c r="E29" s="6"/>
      <c r="F29" s="6"/>
      <c r="G29" s="6"/>
      <c r="H29" s="6"/>
      <c r="I29" s="6"/>
      <c r="J29" s="205" t="s">
        <v>14</v>
      </c>
      <c r="K29" s="46"/>
      <c r="L29" s="206">
        <v>1700.0</v>
      </c>
      <c r="M29" s="6"/>
      <c r="O29" s="117"/>
      <c r="P29" s="46"/>
      <c r="Q29" s="116"/>
      <c r="R29" s="96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205" t="s">
        <v>370</v>
      </c>
      <c r="L30" s="206">
        <v>3000.0</v>
      </c>
      <c r="M30" s="6"/>
      <c r="O30" s="117"/>
      <c r="P30" s="46"/>
      <c r="Q30" s="116"/>
      <c r="R30" s="96"/>
    </row>
    <row r="31" ht="14.25" customHeight="1">
      <c r="A31" s="5"/>
      <c r="B31" s="25"/>
      <c r="C31" s="27" t="s">
        <v>3</v>
      </c>
      <c r="D31" s="154" t="s">
        <v>371</v>
      </c>
      <c r="E31" s="6"/>
      <c r="F31" s="6"/>
      <c r="G31" s="6"/>
      <c r="H31" s="6"/>
      <c r="I31" s="6"/>
      <c r="J31" s="205" t="s">
        <v>372</v>
      </c>
      <c r="L31" s="206">
        <v>4000.0</v>
      </c>
      <c r="M31" s="6"/>
      <c r="O31" s="117"/>
      <c r="P31" s="46"/>
      <c r="Q31" s="116"/>
      <c r="R31" s="96"/>
    </row>
    <row r="32" ht="14.25" customHeight="1">
      <c r="A32" s="5"/>
      <c r="B32" s="24" t="s">
        <v>24</v>
      </c>
      <c r="C32" s="44">
        <v>41000.0</v>
      </c>
      <c r="D32" s="180" t="s">
        <v>25</v>
      </c>
      <c r="E32" s="6"/>
      <c r="F32" s="6"/>
      <c r="G32" s="6"/>
      <c r="H32" s="6"/>
      <c r="I32" s="6"/>
      <c r="J32" s="205" t="s">
        <v>373</v>
      </c>
      <c r="L32" s="206">
        <v>1000.0</v>
      </c>
      <c r="M32" s="6"/>
      <c r="O32" s="101"/>
      <c r="Q32" s="116"/>
      <c r="R32" s="96"/>
    </row>
    <row r="33" ht="14.25" customHeight="1">
      <c r="A33" s="6"/>
      <c r="B33" s="44" t="s">
        <v>26</v>
      </c>
      <c r="C33" s="44">
        <v>4000.0</v>
      </c>
      <c r="D33" s="180" t="s">
        <v>25</v>
      </c>
      <c r="E33" s="6"/>
      <c r="F33" s="6"/>
      <c r="G33" s="6"/>
      <c r="H33" s="6"/>
      <c r="I33" s="6"/>
      <c r="J33" s="205" t="s">
        <v>374</v>
      </c>
      <c r="L33" s="206">
        <v>10000.0</v>
      </c>
      <c r="M33" s="6"/>
      <c r="O33" s="101"/>
      <c r="Q33" s="116"/>
      <c r="R33" s="96"/>
    </row>
    <row r="34" ht="14.25" customHeight="1">
      <c r="A34" s="5"/>
      <c r="B34" s="44" t="s">
        <v>27</v>
      </c>
      <c r="C34" s="44">
        <v>1000.0</v>
      </c>
      <c r="D34" s="155" t="s">
        <v>25</v>
      </c>
      <c r="E34" s="6"/>
      <c r="F34" s="6"/>
      <c r="G34" s="6"/>
      <c r="H34" s="6"/>
      <c r="I34" s="6"/>
      <c r="J34" s="135" t="s">
        <v>375</v>
      </c>
      <c r="L34" s="207">
        <v>18000.0</v>
      </c>
      <c r="M34" s="6"/>
      <c r="O34" s="101"/>
      <c r="Q34" s="116"/>
      <c r="R34" s="96"/>
    </row>
    <row r="35" ht="14.25" customHeight="1">
      <c r="A35" s="5"/>
      <c r="B35" s="44" t="s">
        <v>29</v>
      </c>
      <c r="C35" s="157">
        <v>49000.0</v>
      </c>
      <c r="D35" s="155" t="s">
        <v>25</v>
      </c>
      <c r="E35" s="6"/>
      <c r="F35" s="6"/>
      <c r="G35" s="6"/>
      <c r="H35" s="6"/>
      <c r="I35" s="6"/>
      <c r="J35" s="208"/>
      <c r="L35" s="209"/>
      <c r="M35" s="6"/>
      <c r="O35" s="101"/>
      <c r="Q35" s="116"/>
      <c r="R35" s="96"/>
    </row>
    <row r="36" ht="14.25" customHeight="1">
      <c r="A36" s="5"/>
      <c r="B36" s="44" t="s">
        <v>31</v>
      </c>
      <c r="C36" s="44">
        <v>5000.0</v>
      </c>
      <c r="D36" s="180" t="s">
        <v>25</v>
      </c>
      <c r="E36" s="6"/>
      <c r="F36" s="6"/>
      <c r="G36" s="6"/>
      <c r="H36" s="6"/>
      <c r="I36" s="6"/>
      <c r="J36" s="22"/>
      <c r="L36" s="51"/>
      <c r="M36" s="6"/>
      <c r="O36" s="101"/>
      <c r="Q36" s="116"/>
      <c r="R36" s="96"/>
    </row>
    <row r="37" ht="14.25" customHeight="1">
      <c r="A37" s="5"/>
      <c r="B37" s="44" t="s">
        <v>33</v>
      </c>
      <c r="C37" s="157">
        <v>10000.0</v>
      </c>
      <c r="D37" s="155" t="s">
        <v>25</v>
      </c>
      <c r="E37" s="6"/>
      <c r="F37" s="6"/>
      <c r="G37" s="6"/>
      <c r="H37" s="6"/>
      <c r="I37" s="6"/>
      <c r="J37" s="22"/>
      <c r="K37" s="46"/>
      <c r="L37" s="47"/>
      <c r="M37" s="6"/>
      <c r="O37" s="101"/>
      <c r="P37" s="46"/>
      <c r="Q37" s="118"/>
      <c r="R37" s="96"/>
    </row>
    <row r="38" ht="14.25" customHeight="1">
      <c r="A38" s="5"/>
      <c r="B38" s="157" t="s">
        <v>181</v>
      </c>
      <c r="C38" s="157">
        <v>10000.0</v>
      </c>
      <c r="D38" s="155" t="s">
        <v>25</v>
      </c>
      <c r="E38" s="6"/>
      <c r="F38" s="6"/>
      <c r="G38" s="6"/>
      <c r="H38" s="6"/>
      <c r="I38" s="6"/>
      <c r="J38" s="158" t="s">
        <v>137</v>
      </c>
      <c r="K38" s="38"/>
      <c r="L38" s="49">
        <f>SUM(L24:L36)</f>
        <v>42700</v>
      </c>
      <c r="M38" s="131"/>
      <c r="O38" s="159" t="s">
        <v>137</v>
      </c>
      <c r="P38" s="38"/>
      <c r="Q38" s="120">
        <f>SUM(Q24:Q36)</f>
        <v>0</v>
      </c>
      <c r="R38" s="96"/>
    </row>
    <row r="39" ht="14.25" customHeight="1">
      <c r="A39" s="5"/>
      <c r="B39" s="157" t="s">
        <v>183</v>
      </c>
      <c r="C39" s="157">
        <v>7000.0</v>
      </c>
      <c r="D39" s="155" t="s">
        <v>25</v>
      </c>
      <c r="E39" s="6"/>
      <c r="F39" s="6"/>
      <c r="G39" s="6"/>
      <c r="H39" s="6"/>
      <c r="I39" s="6"/>
      <c r="J39" s="135" t="s">
        <v>376</v>
      </c>
      <c r="L39" s="136">
        <v>29500.0</v>
      </c>
      <c r="M39" s="131"/>
      <c r="O39" s="137"/>
      <c r="Q39" s="138"/>
      <c r="R39" s="96"/>
    </row>
    <row r="40" ht="14.25" customHeight="1">
      <c r="A40" s="5"/>
      <c r="B40" s="18" t="s">
        <v>104</v>
      </c>
      <c r="C40" s="18">
        <v>0.0</v>
      </c>
      <c r="D40" s="155" t="s">
        <v>25</v>
      </c>
      <c r="E40" s="6"/>
      <c r="F40" s="6"/>
      <c r="G40" s="6"/>
      <c r="H40" s="6"/>
      <c r="I40" s="6"/>
      <c r="J40" s="135" t="s">
        <v>377</v>
      </c>
      <c r="L40" s="134">
        <v>2000.0</v>
      </c>
      <c r="M40" s="6"/>
      <c r="O40" s="137"/>
      <c r="Q40" s="185"/>
      <c r="R40" s="96"/>
    </row>
    <row r="41" ht="14.25" customHeight="1">
      <c r="A41" s="5"/>
      <c r="B41" s="157" t="s">
        <v>325</v>
      </c>
      <c r="C41" s="157">
        <v>13000.0</v>
      </c>
      <c r="D41" s="155" t="s">
        <v>25</v>
      </c>
      <c r="E41" s="6"/>
      <c r="F41" s="6"/>
      <c r="G41" s="6"/>
      <c r="H41" s="6"/>
      <c r="I41" s="6"/>
      <c r="J41" s="135" t="s">
        <v>378</v>
      </c>
      <c r="L41" s="134">
        <v>1700.0</v>
      </c>
      <c r="M41" s="6"/>
      <c r="O41" s="117"/>
      <c r="Q41" s="116"/>
      <c r="R41" s="96"/>
    </row>
    <row r="42" ht="14.25" customHeight="1">
      <c r="A42" s="5"/>
      <c r="B42" s="187" t="s">
        <v>326</v>
      </c>
      <c r="C42" s="187">
        <v>0.0</v>
      </c>
      <c r="D42" s="155" t="s">
        <v>25</v>
      </c>
      <c r="E42" s="6"/>
      <c r="F42" s="6"/>
      <c r="G42" s="6"/>
      <c r="H42" s="6"/>
      <c r="I42" s="6"/>
      <c r="J42" s="135" t="s">
        <v>16</v>
      </c>
      <c r="L42" s="134">
        <v>1000.0</v>
      </c>
      <c r="M42" s="6"/>
      <c r="O42" s="117"/>
      <c r="Q42" s="116"/>
      <c r="R42" s="96"/>
    </row>
    <row r="43" ht="14.25" customHeight="1">
      <c r="A43" s="5"/>
      <c r="B43" s="189" t="s">
        <v>11</v>
      </c>
      <c r="C43" s="160">
        <f>SUM(C32:C42)</f>
        <v>140000</v>
      </c>
      <c r="D43" s="55"/>
      <c r="E43" s="6"/>
      <c r="F43" s="6"/>
      <c r="G43" s="6"/>
      <c r="H43" s="6"/>
      <c r="I43" s="6"/>
      <c r="J43" s="135" t="s">
        <v>379</v>
      </c>
      <c r="L43" s="134">
        <v>1200.0</v>
      </c>
      <c r="M43" s="6"/>
      <c r="O43" s="117"/>
      <c r="Q43" s="116"/>
      <c r="R43" s="96"/>
    </row>
    <row r="44" ht="14.25" customHeight="1">
      <c r="A44" s="5"/>
      <c r="B44" s="56"/>
      <c r="C44" s="57"/>
      <c r="D44" s="58"/>
      <c r="E44" s="6"/>
      <c r="F44" s="6"/>
      <c r="G44" s="6"/>
      <c r="H44" s="6"/>
      <c r="I44" s="6"/>
      <c r="J44" s="135"/>
      <c r="L44" s="134"/>
      <c r="M44" s="6"/>
      <c r="O44" s="117"/>
      <c r="Q44" s="116"/>
      <c r="R44" s="96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22"/>
      <c r="N45" s="6"/>
      <c r="O45" s="117"/>
      <c r="Q45" s="116"/>
      <c r="R45" s="101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50"/>
      <c r="L46" s="80"/>
      <c r="M46" s="22"/>
      <c r="N46" s="6"/>
      <c r="O46" s="117"/>
      <c r="Q46" s="122"/>
      <c r="R46" s="101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50"/>
      <c r="L47" s="41"/>
      <c r="M47" s="22"/>
      <c r="O47" s="117"/>
      <c r="Q47" s="116"/>
      <c r="R47" s="101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81"/>
      <c r="K48" s="46"/>
      <c r="L48" s="19"/>
      <c r="M48" s="22"/>
      <c r="O48" s="123"/>
      <c r="P48" s="46"/>
      <c r="Q48" s="99"/>
      <c r="R48" s="101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81"/>
      <c r="K49" s="46"/>
      <c r="L49" s="19"/>
      <c r="M49" s="22"/>
      <c r="O49" s="123"/>
      <c r="P49" s="46"/>
      <c r="Q49" s="99"/>
      <c r="R49" s="101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50"/>
      <c r="L50" s="47"/>
      <c r="M50" s="6"/>
      <c r="O50" s="117"/>
      <c r="Q50" s="118"/>
      <c r="R50" s="96"/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161" t="s">
        <v>144</v>
      </c>
      <c r="K51" s="60"/>
      <c r="L51" s="82">
        <f>SUM(L39:L50)</f>
        <v>35400</v>
      </c>
      <c r="M51" s="131"/>
      <c r="O51" s="162" t="s">
        <v>144</v>
      </c>
      <c r="P51" s="60"/>
      <c r="Q51" s="125">
        <f>SUM(Q39:Q50)</f>
        <v>0</v>
      </c>
      <c r="R51" s="96"/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163" t="s">
        <v>145</v>
      </c>
      <c r="K52" s="37"/>
      <c r="L52" s="38"/>
      <c r="M52" s="83">
        <f>L38+L51</f>
        <v>78100</v>
      </c>
      <c r="O52" s="164" t="s">
        <v>145</v>
      </c>
      <c r="P52" s="37"/>
      <c r="Q52" s="38"/>
      <c r="R52" s="112">
        <f>Q38+Q51</f>
        <v>0</v>
      </c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165" t="s">
        <v>380</v>
      </c>
      <c r="K53" s="37"/>
      <c r="L53" s="38"/>
      <c r="M53" s="166">
        <f>M23-M52</f>
        <v>7025</v>
      </c>
      <c r="O53" s="126" t="s">
        <v>39</v>
      </c>
      <c r="P53" s="37"/>
      <c r="Q53" s="38"/>
      <c r="R53" s="102">
        <f>R23-R52</f>
        <v>296000</v>
      </c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167" t="s">
        <v>381</v>
      </c>
      <c r="K54" s="37"/>
      <c r="L54" s="84"/>
      <c r="M54" s="168"/>
      <c r="N54" s="78"/>
      <c r="O54" s="127" t="s">
        <v>40</v>
      </c>
      <c r="P54" s="37"/>
      <c r="Q54" s="84"/>
      <c r="R54" s="128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169" t="s">
        <v>382</v>
      </c>
      <c r="K55" s="37"/>
      <c r="L55" s="84"/>
      <c r="M55" s="170"/>
      <c r="N55" s="78"/>
      <c r="O55" s="127" t="s">
        <v>56</v>
      </c>
      <c r="P55" s="37"/>
      <c r="Q55" s="84"/>
      <c r="R55" s="128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131" t="s">
        <v>253</v>
      </c>
      <c r="K56" s="131">
        <v>600000.0</v>
      </c>
      <c r="L56" s="6"/>
      <c r="M56" s="6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131" t="s">
        <v>227</v>
      </c>
      <c r="K57" s="131">
        <v>246000.0</v>
      </c>
      <c r="L57" s="6"/>
      <c r="M57" s="6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182">
        <f>K56+K57</f>
        <v>846000</v>
      </c>
      <c r="L58" s="6"/>
      <c r="M58" s="6"/>
    </row>
    <row r="59" ht="14.25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171" t="s">
        <v>361</v>
      </c>
      <c r="J61" s="70"/>
      <c r="K61" s="44" t="s">
        <v>3</v>
      </c>
      <c r="L61" s="6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71" t="s">
        <v>42</v>
      </c>
      <c r="J62" s="29"/>
      <c r="K62" s="72"/>
      <c r="L62" s="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17"/>
      <c r="J63" s="4"/>
      <c r="K63" s="191">
        <v>111000.0</v>
      </c>
      <c r="L63" s="6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5"/>
      <c r="J64" s="6"/>
      <c r="K64" s="172">
        <v>36000.0</v>
      </c>
      <c r="L64" s="6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5"/>
      <c r="J65" s="6"/>
      <c r="K65" s="183">
        <v>5000.0</v>
      </c>
      <c r="L65" s="6"/>
    </row>
    <row r="66" ht="14.25" customHeight="1">
      <c r="A66" s="5"/>
      <c r="B66" s="6"/>
      <c r="C66" s="6"/>
      <c r="D66" s="6"/>
      <c r="E66" s="6"/>
      <c r="F66" s="6"/>
      <c r="G66" s="6"/>
      <c r="H66" s="6"/>
      <c r="I66" s="5"/>
      <c r="J66" s="6"/>
      <c r="K66" s="172">
        <v>5000.0</v>
      </c>
      <c r="L66" s="6"/>
    </row>
    <row r="67" ht="14.25" customHeight="1">
      <c r="A67" s="5"/>
      <c r="B67" s="6"/>
      <c r="C67" s="6"/>
      <c r="D67" s="6"/>
      <c r="E67" s="6"/>
      <c r="F67" s="6"/>
      <c r="G67" s="6"/>
      <c r="H67" s="6"/>
      <c r="I67" s="5"/>
      <c r="J67" s="6"/>
      <c r="K67" s="172"/>
      <c r="L67" s="131"/>
    </row>
    <row r="68" ht="14.25" customHeight="1">
      <c r="I68" s="5"/>
      <c r="J68" s="6"/>
      <c r="K68" s="183"/>
      <c r="L68" s="91"/>
      <c r="M68" s="92"/>
    </row>
    <row r="69" ht="14.25" customHeight="1">
      <c r="I69" s="5"/>
      <c r="J69" s="6"/>
      <c r="K69" s="183"/>
      <c r="L69" s="91"/>
      <c r="M69" s="92"/>
    </row>
    <row r="70" ht="14.25" customHeight="1">
      <c r="I70" s="5"/>
      <c r="J70" s="6"/>
      <c r="K70" s="172"/>
    </row>
    <row r="71" ht="14.25" customHeight="1">
      <c r="I71" s="73" t="s">
        <v>43</v>
      </c>
      <c r="J71" s="38"/>
      <c r="K71" s="68">
        <f>SUM(K63:K70)</f>
        <v>157000</v>
      </c>
      <c r="L71" s="210"/>
    </row>
    <row r="72" ht="14.25" customHeight="1">
      <c r="J72" s="131" t="s">
        <v>288</v>
      </c>
      <c r="K72" s="131">
        <v>111000.0</v>
      </c>
      <c r="L72" s="6"/>
    </row>
    <row r="73" ht="14.25" customHeight="1">
      <c r="J73" s="131" t="s">
        <v>289</v>
      </c>
      <c r="K73" s="194">
        <f>SUM(K64:K70)</f>
        <v>46000</v>
      </c>
      <c r="L73" s="6"/>
    </row>
    <row r="74" ht="14.25" customHeight="1">
      <c r="J74" s="6"/>
      <c r="K74" s="6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08"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  <mergeCell ref="O34:P34"/>
    <mergeCell ref="O35:P35"/>
    <mergeCell ref="O27:P27"/>
    <mergeCell ref="O28:P28"/>
    <mergeCell ref="O29:P29"/>
    <mergeCell ref="O30:P30"/>
    <mergeCell ref="O31:P31"/>
    <mergeCell ref="O32:P32"/>
    <mergeCell ref="O33:P33"/>
    <mergeCell ref="J38:K38"/>
    <mergeCell ref="J39:K39"/>
    <mergeCell ref="J40:K40"/>
    <mergeCell ref="J41:K41"/>
    <mergeCell ref="O41:P41"/>
    <mergeCell ref="J42:K42"/>
    <mergeCell ref="O42:P42"/>
    <mergeCell ref="J34:K34"/>
    <mergeCell ref="J35:K35"/>
    <mergeCell ref="J36:K36"/>
    <mergeCell ref="O36:P36"/>
    <mergeCell ref="J37:K37"/>
    <mergeCell ref="O37:P37"/>
    <mergeCell ref="O38:P38"/>
    <mergeCell ref="O47:P47"/>
    <mergeCell ref="O48:P48"/>
    <mergeCell ref="J44:K44"/>
    <mergeCell ref="J45:K45"/>
    <mergeCell ref="O45:P45"/>
    <mergeCell ref="J46:K46"/>
    <mergeCell ref="O46:P46"/>
    <mergeCell ref="J47:K47"/>
    <mergeCell ref="J48:K48"/>
    <mergeCell ref="J52:L52"/>
    <mergeCell ref="J53:L53"/>
    <mergeCell ref="J54:L54"/>
    <mergeCell ref="J55:L55"/>
    <mergeCell ref="I61:J61"/>
    <mergeCell ref="I62:K62"/>
    <mergeCell ref="I71:J71"/>
    <mergeCell ref="O53:Q53"/>
    <mergeCell ref="O54:Q54"/>
    <mergeCell ref="O55:Q55"/>
    <mergeCell ref="J49:K49"/>
    <mergeCell ref="O49:P49"/>
    <mergeCell ref="J50:K50"/>
    <mergeCell ref="O50:P50"/>
    <mergeCell ref="J51:K51"/>
    <mergeCell ref="O51:P51"/>
    <mergeCell ref="O52:Q52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J10:K10"/>
    <mergeCell ref="O10:P10"/>
    <mergeCell ref="D11:D13"/>
    <mergeCell ref="J11:K11"/>
    <mergeCell ref="O11:P11"/>
    <mergeCell ref="J12:L12"/>
    <mergeCell ref="B14:C14"/>
    <mergeCell ref="O14:P14"/>
    <mergeCell ref="J13:K13"/>
    <mergeCell ref="J14:K14"/>
    <mergeCell ref="J15:K15"/>
    <mergeCell ref="J16:K16"/>
    <mergeCell ref="J17:K17"/>
    <mergeCell ref="J18:K18"/>
    <mergeCell ref="J19:K19"/>
    <mergeCell ref="J20:L20"/>
    <mergeCell ref="J21:L21"/>
    <mergeCell ref="J22:L22"/>
    <mergeCell ref="J23:L23"/>
    <mergeCell ref="J24:L24"/>
    <mergeCell ref="J25:L25"/>
    <mergeCell ref="J26:K26"/>
    <mergeCell ref="J27:K27"/>
    <mergeCell ref="J28:K28"/>
    <mergeCell ref="J29:K29"/>
    <mergeCell ref="J30:K30"/>
    <mergeCell ref="J31:K31"/>
    <mergeCell ref="J32:K32"/>
    <mergeCell ref="J33:K33"/>
    <mergeCell ref="O39:P39"/>
    <mergeCell ref="O40:P40"/>
    <mergeCell ref="B43:B44"/>
    <mergeCell ref="C43:D44"/>
    <mergeCell ref="J43:K43"/>
    <mergeCell ref="O43:P43"/>
    <mergeCell ref="O44:P44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" width="15.43"/>
    <col customWidth="1" min="4" max="4" width="19.29"/>
    <col customWidth="1" min="5" max="9" width="8.71"/>
    <col customWidth="1" min="10" max="10" width="36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39" t="s">
        <v>383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140" t="s">
        <v>383</v>
      </c>
      <c r="K6" s="10"/>
      <c r="L6" s="11" t="s">
        <v>3</v>
      </c>
      <c r="M6" s="6"/>
      <c r="O6" s="211" t="s">
        <v>383</v>
      </c>
      <c r="P6" s="10"/>
      <c r="Q6" s="212" t="s">
        <v>3</v>
      </c>
      <c r="R6" s="213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203" t="s">
        <v>362</v>
      </c>
      <c r="K7" s="15"/>
      <c r="L7" s="16"/>
      <c r="M7" s="6"/>
      <c r="O7" s="214" t="s">
        <v>5</v>
      </c>
      <c r="P7" s="15"/>
      <c r="Q7" s="16"/>
      <c r="R7" s="213"/>
    </row>
    <row r="8" ht="14.25" customHeight="1">
      <c r="A8" s="5"/>
      <c r="B8" s="17"/>
      <c r="C8" s="17" t="s">
        <v>6</v>
      </c>
      <c r="D8" s="142">
        <v>0.0</v>
      </c>
      <c r="E8" s="6"/>
      <c r="F8" s="6"/>
      <c r="G8" s="6"/>
      <c r="H8" s="6"/>
      <c r="I8" s="6"/>
      <c r="J8" s="143" t="s">
        <v>147</v>
      </c>
      <c r="K8" s="98"/>
      <c r="L8" s="144">
        <v>7025.0</v>
      </c>
      <c r="M8" s="6"/>
      <c r="O8" s="215" t="s">
        <v>147</v>
      </c>
      <c r="P8" s="98"/>
      <c r="Q8" s="216">
        <v>296000.0</v>
      </c>
      <c r="R8" s="213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132"/>
      <c r="L9" s="146"/>
      <c r="M9" s="6"/>
      <c r="O9" s="217"/>
      <c r="Q9" s="218"/>
      <c r="R9" s="213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22"/>
      <c r="L10" s="23"/>
      <c r="M10" s="6"/>
      <c r="O10" s="217"/>
      <c r="Q10" s="218"/>
      <c r="R10" s="213"/>
    </row>
    <row r="11" ht="14.25" customHeight="1">
      <c r="A11" s="5"/>
      <c r="B11" s="17"/>
      <c r="C11" s="18"/>
      <c r="D11" s="219">
        <v>20000.0</v>
      </c>
      <c r="E11" s="6"/>
      <c r="F11" s="6"/>
      <c r="G11" s="6"/>
      <c r="H11" s="6"/>
      <c r="I11" s="6"/>
      <c r="J11" s="103"/>
      <c r="K11" s="104"/>
      <c r="L11" s="23"/>
      <c r="M11" s="179">
        <f>L8</f>
        <v>7025</v>
      </c>
      <c r="O11" s="220"/>
      <c r="P11" s="104"/>
      <c r="Q11" s="218"/>
      <c r="R11" s="221">
        <f>SUM(Q8:Q11)</f>
        <v>296000</v>
      </c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04" t="s">
        <v>364</v>
      </c>
      <c r="K12" s="29"/>
      <c r="L12" s="30"/>
      <c r="M12" s="6"/>
      <c r="O12" s="222" t="s">
        <v>10</v>
      </c>
      <c r="P12" s="29"/>
      <c r="Q12" s="30"/>
      <c r="R12" s="213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43"/>
      <c r="K13" s="98"/>
      <c r="L13" s="144"/>
      <c r="M13" s="6"/>
      <c r="O13" s="215"/>
      <c r="P13" s="98"/>
      <c r="Q13" s="223"/>
      <c r="R13" s="213"/>
    </row>
    <row r="14" ht="14.25" customHeight="1">
      <c r="A14" s="5"/>
      <c r="B14" s="32" t="s">
        <v>11</v>
      </c>
      <c r="C14" s="33"/>
      <c r="D14" s="34">
        <f>SUM(D8:D13)</f>
        <v>120000</v>
      </c>
      <c r="E14" s="6"/>
      <c r="F14" s="6"/>
      <c r="G14" s="6"/>
      <c r="H14" s="6"/>
      <c r="I14" s="6"/>
      <c r="J14" s="132" t="s">
        <v>384</v>
      </c>
      <c r="L14" s="146">
        <v>29000.0</v>
      </c>
      <c r="M14" s="6"/>
      <c r="O14" s="224" t="s">
        <v>385</v>
      </c>
      <c r="Q14" s="218"/>
      <c r="R14" s="213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132" t="s">
        <v>386</v>
      </c>
      <c r="L15" s="23"/>
      <c r="M15" s="6"/>
      <c r="O15" s="217"/>
      <c r="Q15" s="218"/>
      <c r="R15" s="213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132" t="s">
        <v>387</v>
      </c>
      <c r="L16" s="146">
        <v>13000.0</v>
      </c>
      <c r="M16" s="6"/>
      <c r="O16" s="217"/>
      <c r="Q16" s="218"/>
      <c r="R16" s="213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132" t="s">
        <v>388</v>
      </c>
      <c r="L17" s="146">
        <v>10000.0</v>
      </c>
      <c r="M17" s="6"/>
      <c r="O17" s="217"/>
      <c r="Q17" s="218"/>
      <c r="R17" s="213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217"/>
      <c r="Q18" s="218"/>
      <c r="R18" s="213"/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23"/>
      <c r="M19" s="179">
        <f>SUM(L14:L17)</f>
        <v>52000</v>
      </c>
      <c r="O19" s="217"/>
      <c r="Q19" s="218"/>
      <c r="R19" s="221">
        <f>SUM(Q13:Q18)</f>
        <v>0</v>
      </c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225"/>
      <c r="P20" s="76"/>
      <c r="Q20" s="77"/>
      <c r="R20" s="226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227"/>
      <c r="P21" s="37"/>
      <c r="Q21" s="38"/>
      <c r="R21" s="226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228"/>
      <c r="P22" s="37"/>
      <c r="Q22" s="38"/>
      <c r="R22" s="229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147" t="s">
        <v>12</v>
      </c>
      <c r="K23" s="86"/>
      <c r="L23" s="55"/>
      <c r="M23" s="148">
        <f>M11+M19</f>
        <v>59025</v>
      </c>
      <c r="N23" s="78"/>
      <c r="O23" s="230" t="s">
        <v>12</v>
      </c>
      <c r="P23" s="37"/>
      <c r="Q23" s="38"/>
      <c r="R23" s="231">
        <f>R11+R19</f>
        <v>296000</v>
      </c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49" t="s">
        <v>172</v>
      </c>
      <c r="K24" s="37"/>
      <c r="L24" s="38"/>
      <c r="M24" s="150"/>
      <c r="O24" s="224"/>
      <c r="Q24" s="232"/>
      <c r="R24" s="213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51" t="s">
        <v>173</v>
      </c>
      <c r="K25" s="37"/>
      <c r="L25" s="38"/>
      <c r="M25" s="152"/>
      <c r="O25" s="217"/>
      <c r="Q25" s="233"/>
      <c r="R25" s="213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5" t="s">
        <v>389</v>
      </c>
      <c r="L26" s="136">
        <v>7000.0</v>
      </c>
      <c r="M26" s="6"/>
      <c r="O26" s="217"/>
      <c r="Q26" s="233"/>
      <c r="R26" s="213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135" t="s">
        <v>390</v>
      </c>
      <c r="L27" s="134">
        <v>3100.0</v>
      </c>
      <c r="M27" s="6"/>
      <c r="O27" s="217"/>
      <c r="Q27" s="233"/>
      <c r="R27" s="213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135" t="s">
        <v>391</v>
      </c>
      <c r="L28" s="134">
        <v>2300.0</v>
      </c>
      <c r="M28" s="6"/>
      <c r="O28" s="234"/>
      <c r="P28" s="46"/>
      <c r="Q28" s="233"/>
      <c r="R28" s="213"/>
    </row>
    <row r="29" ht="14.25" customHeight="1">
      <c r="A29" s="6"/>
      <c r="B29" s="153" t="s">
        <v>383</v>
      </c>
      <c r="C29" s="8"/>
      <c r="D29" s="6"/>
      <c r="E29" s="6"/>
      <c r="F29" s="6"/>
      <c r="G29" s="6"/>
      <c r="H29" s="6"/>
      <c r="I29" s="6"/>
      <c r="J29" s="135" t="s">
        <v>392</v>
      </c>
      <c r="L29" s="134">
        <v>1100.0</v>
      </c>
      <c r="M29" s="6"/>
      <c r="O29" s="234"/>
      <c r="P29" s="46"/>
      <c r="Q29" s="233"/>
      <c r="R29" s="213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135" t="s">
        <v>391</v>
      </c>
      <c r="K30" s="46"/>
      <c r="L30" s="134">
        <v>2700.0</v>
      </c>
      <c r="M30" s="6"/>
      <c r="O30" s="234"/>
      <c r="P30" s="46"/>
      <c r="Q30" s="233"/>
      <c r="R30" s="213"/>
    </row>
    <row r="31" ht="14.25" customHeight="1">
      <c r="A31" s="5"/>
      <c r="B31" s="25"/>
      <c r="C31" s="27" t="s">
        <v>3</v>
      </c>
      <c r="D31" s="154" t="s">
        <v>393</v>
      </c>
      <c r="E31" s="6"/>
      <c r="F31" s="6"/>
      <c r="G31" s="6"/>
      <c r="H31" s="6"/>
      <c r="I31" s="6"/>
      <c r="J31" s="135" t="s">
        <v>394</v>
      </c>
      <c r="K31" s="46"/>
      <c r="L31" s="134">
        <v>5000.0</v>
      </c>
      <c r="M31" s="6"/>
      <c r="O31" s="234"/>
      <c r="P31" s="46"/>
      <c r="Q31" s="233"/>
      <c r="R31" s="213"/>
    </row>
    <row r="32" ht="14.25" customHeight="1">
      <c r="A32" s="5"/>
      <c r="B32" s="24" t="s">
        <v>24</v>
      </c>
      <c r="C32" s="44">
        <v>41000.0</v>
      </c>
      <c r="D32" s="155" t="s">
        <v>25</v>
      </c>
      <c r="E32" s="6"/>
      <c r="F32" s="6"/>
      <c r="G32" s="6"/>
      <c r="H32" s="6"/>
      <c r="I32" s="6"/>
      <c r="J32" s="22"/>
      <c r="L32" s="41"/>
      <c r="M32" s="6"/>
      <c r="O32" s="217"/>
      <c r="Q32" s="233"/>
      <c r="R32" s="213"/>
    </row>
    <row r="33" ht="14.25" customHeight="1">
      <c r="A33" s="6"/>
      <c r="B33" s="44" t="s">
        <v>26</v>
      </c>
      <c r="C33" s="44">
        <v>4000.0</v>
      </c>
      <c r="D33" s="155" t="s">
        <v>25</v>
      </c>
      <c r="E33" s="6"/>
      <c r="F33" s="6"/>
      <c r="G33" s="6"/>
      <c r="H33" s="6"/>
      <c r="I33" s="6"/>
      <c r="J33" s="22"/>
      <c r="L33" s="41"/>
      <c r="M33" s="6"/>
      <c r="O33" s="217"/>
      <c r="Q33" s="233"/>
      <c r="R33" s="213"/>
    </row>
    <row r="34" ht="14.25" customHeight="1">
      <c r="A34" s="5"/>
      <c r="B34" s="44" t="s">
        <v>27</v>
      </c>
      <c r="C34" s="44">
        <v>1000.0</v>
      </c>
      <c r="D34" s="155" t="s">
        <v>25</v>
      </c>
      <c r="E34" s="6"/>
      <c r="F34" s="6"/>
      <c r="G34" s="6"/>
      <c r="H34" s="6"/>
      <c r="I34" s="6"/>
      <c r="J34" s="22"/>
      <c r="L34" s="41"/>
      <c r="M34" s="6"/>
      <c r="O34" s="217"/>
      <c r="Q34" s="233"/>
      <c r="R34" s="213"/>
    </row>
    <row r="35" ht="14.25" customHeight="1">
      <c r="A35" s="5"/>
      <c r="B35" s="44" t="s">
        <v>29</v>
      </c>
      <c r="C35" s="157">
        <v>29000.0</v>
      </c>
      <c r="D35" s="155" t="s">
        <v>25</v>
      </c>
      <c r="E35" s="6"/>
      <c r="F35" s="6"/>
      <c r="G35" s="6"/>
      <c r="H35" s="6"/>
      <c r="I35" s="6"/>
      <c r="J35" s="22"/>
      <c r="L35" s="41"/>
      <c r="M35" s="6"/>
      <c r="O35" s="217"/>
      <c r="Q35" s="233"/>
      <c r="R35" s="213"/>
    </row>
    <row r="36" ht="14.25" customHeight="1">
      <c r="A36" s="5"/>
      <c r="B36" s="44" t="s">
        <v>31</v>
      </c>
      <c r="C36" s="44">
        <v>5000.0</v>
      </c>
      <c r="D36" s="155" t="s">
        <v>25</v>
      </c>
      <c r="E36" s="6"/>
      <c r="F36" s="6"/>
      <c r="G36" s="6"/>
      <c r="H36" s="6"/>
      <c r="I36" s="6"/>
      <c r="J36" s="22"/>
      <c r="L36" s="41"/>
      <c r="M36" s="6"/>
      <c r="O36" s="217"/>
      <c r="Q36" s="233"/>
      <c r="R36" s="213"/>
    </row>
    <row r="37" ht="14.25" customHeight="1">
      <c r="A37" s="5"/>
      <c r="B37" s="44" t="s">
        <v>33</v>
      </c>
      <c r="C37" s="157">
        <v>5000.0</v>
      </c>
      <c r="D37" s="155" t="s">
        <v>25</v>
      </c>
      <c r="E37" s="6"/>
      <c r="F37" s="6"/>
      <c r="G37" s="6"/>
      <c r="H37" s="6"/>
      <c r="I37" s="6"/>
      <c r="J37" s="22"/>
      <c r="K37" s="46"/>
      <c r="L37" s="47"/>
      <c r="M37" s="6"/>
      <c r="O37" s="217"/>
      <c r="P37" s="46"/>
      <c r="Q37" s="235"/>
      <c r="R37" s="213"/>
    </row>
    <row r="38" ht="14.25" customHeight="1">
      <c r="A38" s="5"/>
      <c r="B38" s="157" t="s">
        <v>181</v>
      </c>
      <c r="C38" s="157">
        <v>10000.0</v>
      </c>
      <c r="D38" s="155" t="s">
        <v>25</v>
      </c>
      <c r="E38" s="6"/>
      <c r="F38" s="6"/>
      <c r="G38" s="6"/>
      <c r="H38" s="6"/>
      <c r="I38" s="6"/>
      <c r="J38" s="158" t="s">
        <v>162</v>
      </c>
      <c r="K38" s="38"/>
      <c r="L38" s="49">
        <f>SUM(L24:L36)</f>
        <v>21200</v>
      </c>
      <c r="M38" s="6"/>
      <c r="O38" s="236" t="s">
        <v>162</v>
      </c>
      <c r="P38" s="38"/>
      <c r="Q38" s="237">
        <f>SUM(Q24:Q36)</f>
        <v>0</v>
      </c>
      <c r="R38" s="213"/>
    </row>
    <row r="39" ht="14.25" customHeight="1">
      <c r="A39" s="5"/>
      <c r="B39" s="157" t="s">
        <v>183</v>
      </c>
      <c r="C39" s="157">
        <v>12000.0</v>
      </c>
      <c r="D39" s="155" t="s">
        <v>25</v>
      </c>
      <c r="E39" s="6"/>
      <c r="F39" s="6"/>
      <c r="G39" s="6"/>
      <c r="H39" s="6"/>
      <c r="I39" s="6"/>
      <c r="J39" s="135"/>
      <c r="L39" s="136"/>
      <c r="M39" s="6"/>
      <c r="O39" s="238" t="s">
        <v>395</v>
      </c>
      <c r="Q39" s="239">
        <v>155000.0</v>
      </c>
      <c r="R39" s="213"/>
    </row>
    <row r="40" ht="14.25" customHeight="1">
      <c r="A40" s="5"/>
      <c r="B40" s="142" t="s">
        <v>325</v>
      </c>
      <c r="C40" s="157">
        <v>13000.0</v>
      </c>
      <c r="D40" s="155" t="s">
        <v>25</v>
      </c>
      <c r="E40" s="6"/>
      <c r="F40" s="6"/>
      <c r="G40" s="6"/>
      <c r="H40" s="6"/>
      <c r="I40" s="6"/>
      <c r="J40" s="135"/>
      <c r="L40" s="134"/>
      <c r="M40" s="6"/>
      <c r="O40" s="234"/>
      <c r="Q40" s="233"/>
      <c r="R40" s="213"/>
    </row>
    <row r="41" ht="14.25" customHeight="1">
      <c r="A41" s="5"/>
      <c r="B41" s="53" t="s">
        <v>11</v>
      </c>
      <c r="C41" s="160">
        <f>SUM(C32:C40)</f>
        <v>120000</v>
      </c>
      <c r="D41" s="55"/>
      <c r="E41" s="6"/>
      <c r="F41" s="6"/>
      <c r="G41" s="6"/>
      <c r="H41" s="6"/>
      <c r="I41" s="6"/>
      <c r="J41" s="135"/>
      <c r="L41" s="134"/>
      <c r="M41" s="6"/>
      <c r="O41" s="234"/>
      <c r="Q41" s="233"/>
      <c r="R41" s="213"/>
    </row>
    <row r="42" ht="14.25" customHeight="1">
      <c r="A42" s="5"/>
      <c r="B42" s="56"/>
      <c r="C42" s="57"/>
      <c r="D42" s="58"/>
      <c r="E42" s="6"/>
      <c r="F42" s="6"/>
      <c r="G42" s="6"/>
      <c r="H42" s="6"/>
      <c r="I42" s="6"/>
      <c r="J42" s="135"/>
      <c r="L42" s="134"/>
      <c r="M42" s="6"/>
      <c r="O42" s="234"/>
      <c r="Q42" s="233"/>
      <c r="R42" s="213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50"/>
      <c r="L43" s="41"/>
      <c r="M43" s="22"/>
      <c r="N43" s="6"/>
      <c r="O43" s="234"/>
      <c r="Q43" s="233"/>
      <c r="R43" s="217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50"/>
      <c r="L44" s="80"/>
      <c r="M44" s="22"/>
      <c r="N44" s="6"/>
      <c r="O44" s="234"/>
      <c r="Q44" s="240"/>
      <c r="R44" s="217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22"/>
      <c r="O45" s="234"/>
      <c r="Q45" s="233"/>
      <c r="R45" s="217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81"/>
      <c r="K46" s="46"/>
      <c r="L46" s="19"/>
      <c r="M46" s="22"/>
      <c r="O46" s="241"/>
      <c r="P46" s="46"/>
      <c r="Q46" s="242"/>
      <c r="R46" s="217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81"/>
      <c r="K47" s="46"/>
      <c r="L47" s="19"/>
      <c r="M47" s="22"/>
      <c r="O47" s="241"/>
      <c r="P47" s="46"/>
      <c r="Q47" s="242"/>
      <c r="R47" s="217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50"/>
      <c r="L48" s="47"/>
      <c r="M48" s="6"/>
      <c r="O48" s="234"/>
      <c r="Q48" s="235"/>
      <c r="R48" s="213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161" t="s">
        <v>166</v>
      </c>
      <c r="K49" s="60"/>
      <c r="L49" s="82">
        <f>SUM(L39:L48)</f>
        <v>0</v>
      </c>
      <c r="M49" s="6"/>
      <c r="O49" s="243" t="s">
        <v>166</v>
      </c>
      <c r="P49" s="60"/>
      <c r="Q49" s="244">
        <f>SUM(Q39:Q48)</f>
        <v>155000</v>
      </c>
      <c r="R49" s="213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163" t="s">
        <v>167</v>
      </c>
      <c r="K50" s="37"/>
      <c r="L50" s="38"/>
      <c r="M50" s="83">
        <f>L38+L49</f>
        <v>21200</v>
      </c>
      <c r="O50" s="245" t="s">
        <v>167</v>
      </c>
      <c r="P50" s="37"/>
      <c r="Q50" s="38"/>
      <c r="R50" s="229">
        <f>Q38+Q49</f>
        <v>155000</v>
      </c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165" t="s">
        <v>396</v>
      </c>
      <c r="K51" s="37"/>
      <c r="L51" s="38"/>
      <c r="M51" s="166">
        <f>M23-M50</f>
        <v>37825</v>
      </c>
      <c r="O51" s="246" t="s">
        <v>39</v>
      </c>
      <c r="P51" s="37"/>
      <c r="Q51" s="38"/>
      <c r="R51" s="218">
        <f>R23-R50</f>
        <v>141000</v>
      </c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167" t="s">
        <v>397</v>
      </c>
      <c r="K52" s="37"/>
      <c r="L52" s="84"/>
      <c r="M52" s="168"/>
      <c r="N52" s="78"/>
      <c r="O52" s="247" t="s">
        <v>40</v>
      </c>
      <c r="P52" s="37"/>
      <c r="Q52" s="84"/>
      <c r="R52" s="248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169" t="s">
        <v>398</v>
      </c>
      <c r="K53" s="37"/>
      <c r="L53" s="84"/>
      <c r="M53" s="170"/>
      <c r="N53" s="78"/>
      <c r="O53" s="247" t="s">
        <v>56</v>
      </c>
      <c r="P53" s="37"/>
      <c r="Q53" s="84"/>
      <c r="R53" s="249">
        <f>O58+R51</f>
        <v>2141000</v>
      </c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N54" s="250"/>
      <c r="P54" s="250"/>
      <c r="Q54" s="250"/>
      <c r="R54" s="250"/>
    </row>
    <row r="55" ht="14.25" customHeight="1">
      <c r="A55" s="5"/>
      <c r="B55" s="6"/>
      <c r="C55" s="6"/>
      <c r="D55" s="6"/>
      <c r="E55" s="6"/>
      <c r="F55" s="6"/>
      <c r="G55" s="6"/>
      <c r="H55" s="6"/>
      <c r="I55" s="6"/>
      <c r="J55" s="131" t="s">
        <v>253</v>
      </c>
      <c r="K55" s="131">
        <v>430000.0</v>
      </c>
      <c r="L55" s="251" t="s">
        <v>399</v>
      </c>
      <c r="O55" s="252" t="s">
        <v>400</v>
      </c>
      <c r="P55" s="250"/>
      <c r="Q55" s="250"/>
      <c r="R55" s="250"/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131" t="s">
        <v>227</v>
      </c>
      <c r="K56" s="131">
        <v>442000.0</v>
      </c>
      <c r="L56" s="253">
        <v>46064.0</v>
      </c>
      <c r="M56" s="131">
        <v>145000.0</v>
      </c>
      <c r="O56" s="254">
        <v>1000000.0</v>
      </c>
      <c r="P56" s="250"/>
      <c r="Q56" s="250"/>
      <c r="R56" s="250"/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255" t="s">
        <v>401</v>
      </c>
      <c r="K57" s="256">
        <f>K55+K56</f>
        <v>872000</v>
      </c>
      <c r="L57" s="253">
        <v>46079.0</v>
      </c>
      <c r="M57" s="131">
        <v>145000.0</v>
      </c>
      <c r="O57" s="254">
        <v>1000000.0</v>
      </c>
      <c r="P57" s="250"/>
      <c r="Q57" s="250"/>
      <c r="R57" s="250"/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131" t="s">
        <v>253</v>
      </c>
      <c r="K58" s="131">
        <v>439000.0</v>
      </c>
      <c r="L58" s="257" t="s">
        <v>402</v>
      </c>
      <c r="M58" s="258">
        <f>SUM(M56:M57)</f>
        <v>290000</v>
      </c>
      <c r="N58" s="250"/>
      <c r="O58" s="259">
        <f>SUM(O56:O57)</f>
        <v>2000000</v>
      </c>
      <c r="P58" s="250"/>
      <c r="Q58" s="250"/>
      <c r="R58" s="250"/>
    </row>
    <row r="59" ht="14.25" customHeight="1">
      <c r="A59" s="5"/>
      <c r="B59" s="6"/>
      <c r="C59" s="6"/>
      <c r="D59" s="6"/>
      <c r="E59" s="6"/>
      <c r="F59" s="6"/>
      <c r="G59" s="6"/>
      <c r="H59" s="6"/>
      <c r="J59" s="131" t="s">
        <v>227</v>
      </c>
      <c r="K59" s="131">
        <v>152000.0</v>
      </c>
      <c r="L59" s="6"/>
      <c r="M59" s="250"/>
      <c r="N59" s="250"/>
      <c r="O59" s="260"/>
      <c r="P59" s="250"/>
      <c r="Q59" s="250"/>
      <c r="R59" s="250"/>
    </row>
    <row r="60" ht="14.25" customHeight="1">
      <c r="A60" s="5"/>
      <c r="B60" s="6"/>
      <c r="C60" s="6"/>
      <c r="D60" s="6"/>
      <c r="E60" s="6"/>
      <c r="F60" s="6"/>
      <c r="G60" s="6"/>
      <c r="H60" s="6"/>
      <c r="J60" s="261" t="s">
        <v>403</v>
      </c>
      <c r="K60" s="262">
        <f>K57-M58</f>
        <v>582000</v>
      </c>
      <c r="L60" s="6"/>
      <c r="M60" s="250"/>
      <c r="N60" s="250"/>
      <c r="O60" s="260"/>
      <c r="P60" s="250"/>
      <c r="Q60" s="250"/>
      <c r="R60" s="250"/>
    </row>
    <row r="61" ht="14.25" customHeight="1">
      <c r="A61" s="5"/>
      <c r="B61" s="6"/>
      <c r="C61" s="6"/>
      <c r="D61" s="6"/>
      <c r="E61" s="6"/>
      <c r="F61" s="6"/>
      <c r="G61" s="6"/>
      <c r="H61" s="6"/>
      <c r="L61" s="6"/>
      <c r="M61" s="250"/>
      <c r="N61" s="250"/>
      <c r="O61" s="260"/>
      <c r="P61" s="250"/>
      <c r="Q61" s="250"/>
      <c r="R61" s="250"/>
    </row>
    <row r="62" ht="14.25" customHeight="1">
      <c r="A62" s="5"/>
      <c r="B62" s="6"/>
      <c r="C62" s="6"/>
      <c r="D62" s="6"/>
      <c r="E62" s="6"/>
      <c r="F62" s="6"/>
      <c r="G62" s="6"/>
      <c r="H62" s="6"/>
      <c r="L62" s="6"/>
      <c r="M62" s="250"/>
      <c r="N62" s="250"/>
      <c r="O62" s="250"/>
      <c r="P62" s="250"/>
      <c r="Q62" s="250"/>
      <c r="R62" s="250"/>
    </row>
    <row r="63" ht="14.25" customHeight="1">
      <c r="A63" s="5"/>
      <c r="B63" s="6"/>
      <c r="C63" s="6"/>
      <c r="D63" s="6"/>
      <c r="E63" s="6"/>
      <c r="F63" s="6"/>
      <c r="G63" s="6"/>
      <c r="H63" s="6"/>
      <c r="L63" s="6"/>
      <c r="M63" s="250"/>
      <c r="N63" s="250"/>
      <c r="O63" s="250"/>
      <c r="P63" s="250"/>
      <c r="Q63" s="250"/>
      <c r="R63" s="250"/>
    </row>
    <row r="64" ht="14.25" customHeight="1">
      <c r="A64" s="5"/>
      <c r="B64" s="6"/>
      <c r="C64" s="6"/>
      <c r="D64" s="6"/>
      <c r="E64" s="6"/>
      <c r="F64" s="6"/>
      <c r="G64" s="6"/>
      <c r="H64" s="6"/>
      <c r="L64" s="6"/>
      <c r="M64" s="250"/>
      <c r="N64" s="250"/>
      <c r="O64" s="250"/>
      <c r="P64" s="250"/>
      <c r="Q64" s="250"/>
      <c r="R64" s="250"/>
    </row>
    <row r="65" ht="14.25" customHeight="1">
      <c r="A65" s="5"/>
      <c r="B65" s="6"/>
      <c r="C65" s="6"/>
      <c r="D65" s="6"/>
      <c r="E65" s="6"/>
      <c r="F65" s="6"/>
      <c r="G65" s="6"/>
      <c r="H65" s="6"/>
      <c r="J65" s="171" t="s">
        <v>383</v>
      </c>
      <c r="K65" s="70"/>
      <c r="L65" s="44" t="s">
        <v>3</v>
      </c>
      <c r="M65" s="250"/>
      <c r="N65" s="250"/>
      <c r="O65" s="250"/>
      <c r="P65" s="250"/>
      <c r="Q65" s="250"/>
      <c r="R65" s="250"/>
    </row>
    <row r="66" ht="14.25" customHeight="1">
      <c r="J66" s="71" t="s">
        <v>42</v>
      </c>
      <c r="K66" s="29"/>
      <c r="L66" s="72"/>
      <c r="M66" s="263"/>
      <c r="N66" s="250"/>
      <c r="O66" s="250"/>
      <c r="P66" s="250"/>
      <c r="Q66" s="250"/>
    </row>
    <row r="67" ht="14.25" customHeight="1">
      <c r="J67" s="17"/>
      <c r="K67" s="4"/>
      <c r="L67" s="191">
        <v>169000.0</v>
      </c>
      <c r="M67" s="263"/>
      <c r="N67" s="250"/>
      <c r="O67" s="250"/>
      <c r="P67" s="250"/>
      <c r="Q67" s="250"/>
    </row>
    <row r="68" ht="14.25" customHeight="1">
      <c r="J68" s="5"/>
      <c r="K68" s="6"/>
      <c r="L68" s="172"/>
      <c r="M68" s="250"/>
      <c r="N68" s="250"/>
      <c r="O68" s="250"/>
      <c r="P68" s="250"/>
      <c r="Q68" s="250"/>
    </row>
    <row r="69" ht="14.25" customHeight="1">
      <c r="J69" s="5"/>
      <c r="K69" s="6"/>
      <c r="L69" s="172"/>
      <c r="M69" s="250"/>
      <c r="N69" s="250"/>
      <c r="O69" s="250"/>
      <c r="P69" s="250"/>
      <c r="Q69" s="250"/>
    </row>
    <row r="70" ht="14.25" customHeight="1">
      <c r="J70" s="5"/>
      <c r="K70" s="6"/>
      <c r="L70" s="172"/>
      <c r="M70" s="250"/>
      <c r="N70" s="250"/>
      <c r="O70" s="250"/>
      <c r="P70" s="250"/>
      <c r="Q70" s="250"/>
    </row>
    <row r="71" ht="14.25" customHeight="1">
      <c r="J71" s="5"/>
      <c r="K71" s="6"/>
      <c r="L71" s="172"/>
      <c r="M71" s="250"/>
      <c r="N71" s="250"/>
      <c r="O71" s="250"/>
      <c r="P71" s="250"/>
      <c r="Q71" s="250"/>
    </row>
    <row r="72" ht="14.25" customHeight="1">
      <c r="J72" s="5"/>
      <c r="K72" s="6"/>
      <c r="L72" s="183"/>
      <c r="M72" s="250"/>
      <c r="N72" s="250"/>
      <c r="O72" s="250"/>
      <c r="P72" s="250"/>
      <c r="Q72" s="250"/>
    </row>
    <row r="73" ht="14.25" customHeight="1">
      <c r="J73" s="5"/>
      <c r="K73" s="6"/>
      <c r="L73" s="183"/>
      <c r="M73" s="250"/>
      <c r="N73" s="250"/>
      <c r="O73" s="250"/>
      <c r="P73" s="250"/>
      <c r="Q73" s="250"/>
    </row>
    <row r="74" ht="14.25" customHeight="1">
      <c r="J74" s="5"/>
      <c r="K74" s="6"/>
      <c r="L74" s="172"/>
      <c r="M74" s="250"/>
      <c r="N74" s="250"/>
      <c r="O74" s="250"/>
      <c r="P74" s="250"/>
      <c r="Q74" s="250"/>
    </row>
    <row r="75" ht="14.25" customHeight="1">
      <c r="J75" s="73" t="s">
        <v>43</v>
      </c>
      <c r="K75" s="38"/>
      <c r="L75" s="68">
        <f>SUM(L67:L74)</f>
        <v>169000</v>
      </c>
      <c r="M75" s="250"/>
      <c r="N75" s="250"/>
      <c r="O75" s="250"/>
      <c r="P75" s="250"/>
      <c r="Q75" s="250"/>
    </row>
    <row r="76" ht="14.25" customHeight="1">
      <c r="K76" s="131" t="s">
        <v>227</v>
      </c>
      <c r="L76" s="131">
        <v>169000.0</v>
      </c>
      <c r="M76" s="250"/>
      <c r="N76" s="250"/>
      <c r="O76" s="250"/>
      <c r="P76" s="250"/>
      <c r="Q76" s="250"/>
    </row>
    <row r="77" ht="14.25" customHeight="1">
      <c r="K77" s="131" t="s">
        <v>289</v>
      </c>
      <c r="L77" s="194">
        <f>SUM(L68:L74)</f>
        <v>0</v>
      </c>
      <c r="M77" s="250"/>
      <c r="N77" s="250"/>
      <c r="O77" s="250"/>
      <c r="P77" s="250"/>
      <c r="Q77" s="250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5"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  <mergeCell ref="O34:P34"/>
    <mergeCell ref="O35:P35"/>
    <mergeCell ref="O27:P27"/>
    <mergeCell ref="O28:P28"/>
    <mergeCell ref="O29:P29"/>
    <mergeCell ref="O30:P30"/>
    <mergeCell ref="O31:P31"/>
    <mergeCell ref="O32:P32"/>
    <mergeCell ref="O33:P33"/>
    <mergeCell ref="J38:K38"/>
    <mergeCell ref="J39:K39"/>
    <mergeCell ref="J40:K40"/>
    <mergeCell ref="J34:K34"/>
    <mergeCell ref="J35:K35"/>
    <mergeCell ref="J36:K36"/>
    <mergeCell ref="O36:P36"/>
    <mergeCell ref="J37:K37"/>
    <mergeCell ref="O37:P37"/>
    <mergeCell ref="O38:P38"/>
    <mergeCell ref="O45:P45"/>
    <mergeCell ref="O46:P46"/>
    <mergeCell ref="J42:K42"/>
    <mergeCell ref="J43:K43"/>
    <mergeCell ref="O43:P43"/>
    <mergeCell ref="J44:K44"/>
    <mergeCell ref="O44:P44"/>
    <mergeCell ref="J45:K45"/>
    <mergeCell ref="J46:K46"/>
    <mergeCell ref="J50:L50"/>
    <mergeCell ref="J51:L51"/>
    <mergeCell ref="J52:L52"/>
    <mergeCell ref="J53:L53"/>
    <mergeCell ref="L55:M55"/>
    <mergeCell ref="J65:K65"/>
    <mergeCell ref="J66:L66"/>
    <mergeCell ref="J75:K75"/>
    <mergeCell ref="O51:Q51"/>
    <mergeCell ref="O52:Q52"/>
    <mergeCell ref="O53:Q53"/>
    <mergeCell ref="J47:K47"/>
    <mergeCell ref="O47:P47"/>
    <mergeCell ref="J48:K48"/>
    <mergeCell ref="O48:P48"/>
    <mergeCell ref="J49:K49"/>
    <mergeCell ref="O49:P49"/>
    <mergeCell ref="O50:Q50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J10:K10"/>
    <mergeCell ref="O10:P10"/>
    <mergeCell ref="D11:D13"/>
    <mergeCell ref="J11:K11"/>
    <mergeCell ref="O11:P11"/>
    <mergeCell ref="J12:L12"/>
    <mergeCell ref="B14:C14"/>
    <mergeCell ref="O14:P14"/>
    <mergeCell ref="J13:K13"/>
    <mergeCell ref="J14:K14"/>
    <mergeCell ref="J15:K15"/>
    <mergeCell ref="J16:K16"/>
    <mergeCell ref="J17:K17"/>
    <mergeCell ref="J18:K18"/>
    <mergeCell ref="J19:K19"/>
    <mergeCell ref="J20:L20"/>
    <mergeCell ref="J21:L21"/>
    <mergeCell ref="J22:L22"/>
    <mergeCell ref="J23:L23"/>
    <mergeCell ref="J24:L24"/>
    <mergeCell ref="J25:L25"/>
    <mergeCell ref="J26:K26"/>
    <mergeCell ref="J27:K27"/>
    <mergeCell ref="J28:K28"/>
    <mergeCell ref="J29:K29"/>
    <mergeCell ref="J30:K30"/>
    <mergeCell ref="J31:K31"/>
    <mergeCell ref="J32:K32"/>
    <mergeCell ref="J33:K33"/>
    <mergeCell ref="O39:P39"/>
    <mergeCell ref="O40:P40"/>
    <mergeCell ref="B41:B42"/>
    <mergeCell ref="C41:D42"/>
    <mergeCell ref="J41:K41"/>
    <mergeCell ref="O41:P41"/>
    <mergeCell ref="O42:P42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" width="15.43"/>
    <col customWidth="1" min="4" max="4" width="19.29"/>
    <col customWidth="1" min="5" max="9" width="8.71"/>
    <col customWidth="1" min="10" max="10" width="36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39" t="s">
        <v>168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140" t="s">
        <v>168</v>
      </c>
      <c r="K6" s="10"/>
      <c r="L6" s="11" t="s">
        <v>3</v>
      </c>
      <c r="M6" s="6"/>
      <c r="O6" s="211" t="s">
        <v>168</v>
      </c>
      <c r="P6" s="10"/>
      <c r="Q6" s="212" t="s">
        <v>3</v>
      </c>
      <c r="R6" s="213"/>
      <c r="S6" s="264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203" t="s">
        <v>362</v>
      </c>
      <c r="K7" s="15"/>
      <c r="L7" s="16"/>
      <c r="M7" s="6"/>
      <c r="O7" s="214" t="s">
        <v>5</v>
      </c>
      <c r="P7" s="15"/>
      <c r="Q7" s="16"/>
      <c r="R7" s="213"/>
      <c r="S7" s="264"/>
    </row>
    <row r="8" ht="14.25" customHeight="1">
      <c r="A8" s="5"/>
      <c r="B8" s="17"/>
      <c r="C8" s="17" t="s">
        <v>6</v>
      </c>
      <c r="D8" s="142">
        <v>0.0</v>
      </c>
      <c r="E8" s="6"/>
      <c r="F8" s="6"/>
      <c r="G8" s="6"/>
      <c r="H8" s="6"/>
      <c r="I8" s="6"/>
      <c r="J8" s="143" t="s">
        <v>404</v>
      </c>
      <c r="K8" s="98"/>
      <c r="L8" s="144"/>
      <c r="M8" s="6"/>
      <c r="O8" s="215" t="s">
        <v>404</v>
      </c>
      <c r="P8" s="98"/>
      <c r="Q8" s="216">
        <v>141000.0</v>
      </c>
      <c r="R8" s="213"/>
      <c r="S8" s="264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132" t="s">
        <v>405</v>
      </c>
      <c r="L9" s="146">
        <v>28825.0</v>
      </c>
      <c r="M9" s="6"/>
      <c r="O9" s="217"/>
      <c r="Q9" s="218"/>
      <c r="R9" s="213"/>
      <c r="S9" s="264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132"/>
      <c r="L10" s="146"/>
      <c r="M10" s="6"/>
      <c r="O10" s="217"/>
      <c r="Q10" s="218"/>
      <c r="R10" s="213"/>
      <c r="S10" s="264"/>
    </row>
    <row r="11" ht="14.25" customHeight="1">
      <c r="A11" s="5"/>
      <c r="B11" s="17"/>
      <c r="C11" s="18"/>
      <c r="D11" s="219">
        <v>0.0</v>
      </c>
      <c r="E11" s="6"/>
      <c r="F11" s="6"/>
      <c r="G11" s="6"/>
      <c r="H11" s="6"/>
      <c r="I11" s="6"/>
      <c r="J11" s="103"/>
      <c r="K11" s="104"/>
      <c r="L11" s="23"/>
      <c r="M11" s="179">
        <f>SUM(L8:L11)</f>
        <v>28825</v>
      </c>
      <c r="O11" s="220"/>
      <c r="P11" s="104"/>
      <c r="Q11" s="218"/>
      <c r="R11" s="221">
        <f>SUM(Q8:Q11)</f>
        <v>141000</v>
      </c>
      <c r="S11" s="264"/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04" t="s">
        <v>364</v>
      </c>
      <c r="K12" s="29"/>
      <c r="L12" s="30"/>
      <c r="M12" s="6"/>
      <c r="O12" s="222" t="s">
        <v>10</v>
      </c>
      <c r="P12" s="29"/>
      <c r="Q12" s="30"/>
      <c r="R12" s="213"/>
      <c r="S12" s="264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43"/>
      <c r="K13" s="98"/>
      <c r="L13" s="144"/>
      <c r="M13" s="6"/>
      <c r="O13" s="215"/>
      <c r="P13" s="98"/>
      <c r="Q13" s="223"/>
      <c r="R13" s="213"/>
      <c r="S13" s="264"/>
    </row>
    <row r="14" ht="14.25" customHeight="1">
      <c r="A14" s="5"/>
      <c r="B14" s="32" t="s">
        <v>11</v>
      </c>
      <c r="C14" s="33"/>
      <c r="D14" s="34">
        <f>SUM(D8:D13)</f>
        <v>100000</v>
      </c>
      <c r="E14" s="6"/>
      <c r="F14" s="6"/>
      <c r="G14" s="6"/>
      <c r="H14" s="6"/>
      <c r="I14" s="6"/>
      <c r="J14" s="132" t="s">
        <v>170</v>
      </c>
      <c r="L14" s="146">
        <v>9000.0</v>
      </c>
      <c r="M14" s="6"/>
      <c r="O14" s="224" t="s">
        <v>406</v>
      </c>
      <c r="Q14" s="218"/>
      <c r="R14" s="213"/>
      <c r="S14" s="264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132"/>
      <c r="L15" s="23"/>
      <c r="M15" s="6"/>
      <c r="O15" s="217"/>
      <c r="Q15" s="218"/>
      <c r="R15" s="213"/>
      <c r="S15" s="264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L16" s="23"/>
      <c r="M16" s="6"/>
      <c r="O16" s="217"/>
      <c r="Q16" s="218"/>
      <c r="R16" s="213"/>
      <c r="S16" s="264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22"/>
      <c r="L17" s="23"/>
      <c r="M17" s="6"/>
      <c r="O17" s="217"/>
      <c r="Q17" s="218"/>
      <c r="R17" s="213"/>
      <c r="S17" s="264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217"/>
      <c r="Q18" s="218"/>
      <c r="R18" s="213"/>
      <c r="S18" s="264"/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23"/>
      <c r="M19" s="179">
        <f>SUM(L13:L19)</f>
        <v>9000</v>
      </c>
      <c r="O19" s="217"/>
      <c r="Q19" s="218"/>
      <c r="R19" s="221">
        <f>SUM(Q13:Q18)</f>
        <v>0</v>
      </c>
      <c r="S19" s="264"/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225"/>
      <c r="P20" s="76"/>
      <c r="Q20" s="77"/>
      <c r="R20" s="226"/>
      <c r="S20" s="264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227"/>
      <c r="P21" s="37"/>
      <c r="Q21" s="38"/>
      <c r="R21" s="226"/>
      <c r="S21" s="264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228"/>
      <c r="P22" s="37"/>
      <c r="Q22" s="38"/>
      <c r="R22" s="229"/>
      <c r="S22" s="264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147" t="s">
        <v>12</v>
      </c>
      <c r="K23" s="86"/>
      <c r="L23" s="55"/>
      <c r="M23" s="148">
        <f>M11+M19</f>
        <v>37825</v>
      </c>
      <c r="N23" s="78"/>
      <c r="O23" s="230" t="s">
        <v>12</v>
      </c>
      <c r="P23" s="37"/>
      <c r="Q23" s="38"/>
      <c r="R23" s="231">
        <f>R11+R19</f>
        <v>141000</v>
      </c>
      <c r="S23" s="264"/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49" t="s">
        <v>172</v>
      </c>
      <c r="K24" s="37"/>
      <c r="L24" s="38"/>
      <c r="M24" s="150"/>
      <c r="O24" s="224" t="s">
        <v>407</v>
      </c>
      <c r="Q24" s="232">
        <v>20000.0</v>
      </c>
      <c r="R24" s="213"/>
      <c r="S24" s="264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51" t="s">
        <v>173</v>
      </c>
      <c r="K25" s="37"/>
      <c r="L25" s="38"/>
      <c r="M25" s="152"/>
      <c r="O25" s="224" t="s">
        <v>408</v>
      </c>
      <c r="Q25" s="265">
        <v>150000.0</v>
      </c>
      <c r="R25" s="213"/>
      <c r="S25" s="264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5" t="s">
        <v>409</v>
      </c>
      <c r="L26" s="136">
        <v>5000.0</v>
      </c>
      <c r="M26" s="6"/>
      <c r="O26" s="217"/>
      <c r="Q26" s="233"/>
      <c r="R26" s="213"/>
      <c r="S26" s="264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135" t="s">
        <v>410</v>
      </c>
      <c r="L27" s="134">
        <v>2000.0</v>
      </c>
      <c r="M27" s="6"/>
      <c r="O27" s="217"/>
      <c r="Q27" s="233"/>
      <c r="R27" s="213"/>
      <c r="S27" s="264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135" t="s">
        <v>411</v>
      </c>
      <c r="L28" s="134">
        <v>4825.0</v>
      </c>
      <c r="M28" s="6"/>
      <c r="O28" s="234"/>
      <c r="P28" s="46"/>
      <c r="Q28" s="233"/>
      <c r="R28" s="213"/>
      <c r="S28" s="264"/>
    </row>
    <row r="29" ht="14.25" customHeight="1">
      <c r="A29" s="6"/>
      <c r="B29" s="153" t="s">
        <v>168</v>
      </c>
      <c r="C29" s="8"/>
      <c r="D29" s="6"/>
      <c r="E29" s="6"/>
      <c r="F29" s="6"/>
      <c r="G29" s="6"/>
      <c r="H29" s="6"/>
      <c r="I29" s="6"/>
      <c r="J29" s="135"/>
      <c r="L29" s="134"/>
      <c r="M29" s="6"/>
      <c r="O29" s="234"/>
      <c r="P29" s="46"/>
      <c r="Q29" s="233"/>
      <c r="R29" s="213"/>
      <c r="S29" s="264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135"/>
      <c r="K30" s="46"/>
      <c r="L30" s="134"/>
      <c r="M30" s="6"/>
      <c r="O30" s="234"/>
      <c r="P30" s="46"/>
      <c r="Q30" s="233"/>
      <c r="R30" s="213"/>
      <c r="S30" s="264"/>
    </row>
    <row r="31" ht="14.25" customHeight="1">
      <c r="A31" s="5"/>
      <c r="B31" s="25"/>
      <c r="C31" s="27" t="s">
        <v>3</v>
      </c>
      <c r="D31" s="154" t="s">
        <v>412</v>
      </c>
      <c r="E31" s="6"/>
      <c r="F31" s="6"/>
      <c r="G31" s="6"/>
      <c r="H31" s="6"/>
      <c r="I31" s="6"/>
      <c r="J31" s="135"/>
      <c r="K31" s="46"/>
      <c r="L31" s="134"/>
      <c r="M31" s="6"/>
      <c r="O31" s="234"/>
      <c r="P31" s="46"/>
      <c r="Q31" s="233"/>
      <c r="R31" s="213"/>
      <c r="S31" s="264"/>
    </row>
    <row r="32" ht="14.25" customHeight="1">
      <c r="A32" s="5"/>
      <c r="B32" s="24" t="s">
        <v>24</v>
      </c>
      <c r="C32" s="44">
        <v>41000.0</v>
      </c>
      <c r="D32" s="180" t="s">
        <v>25</v>
      </c>
      <c r="E32" s="6"/>
      <c r="F32" s="6"/>
      <c r="G32" s="6"/>
      <c r="H32" s="6"/>
      <c r="I32" s="6"/>
      <c r="J32" s="22"/>
      <c r="L32" s="41"/>
      <c r="M32" s="6"/>
      <c r="O32" s="217"/>
      <c r="Q32" s="233"/>
      <c r="R32" s="213"/>
      <c r="S32" s="264"/>
    </row>
    <row r="33" ht="14.25" customHeight="1">
      <c r="A33" s="6"/>
      <c r="B33" s="44" t="s">
        <v>26</v>
      </c>
      <c r="C33" s="44">
        <v>4000.0</v>
      </c>
      <c r="D33" s="180" t="s">
        <v>25</v>
      </c>
      <c r="E33" s="6"/>
      <c r="F33" s="6"/>
      <c r="G33" s="6"/>
      <c r="H33" s="6"/>
      <c r="I33" s="6"/>
      <c r="J33" s="22"/>
      <c r="L33" s="41"/>
      <c r="M33" s="6"/>
      <c r="O33" s="217"/>
      <c r="Q33" s="233"/>
      <c r="R33" s="213"/>
      <c r="S33" s="264"/>
    </row>
    <row r="34" ht="14.25" customHeight="1">
      <c r="A34" s="5"/>
      <c r="B34" s="44" t="s">
        <v>27</v>
      </c>
      <c r="C34" s="44">
        <v>1000.0</v>
      </c>
      <c r="D34" s="155" t="s">
        <v>25</v>
      </c>
      <c r="E34" s="6"/>
      <c r="F34" s="6"/>
      <c r="G34" s="6"/>
      <c r="H34" s="6"/>
      <c r="I34" s="6"/>
      <c r="J34" s="22"/>
      <c r="L34" s="41"/>
      <c r="M34" s="6"/>
      <c r="O34" s="217"/>
      <c r="Q34" s="233"/>
      <c r="R34" s="213"/>
      <c r="S34" s="264"/>
    </row>
    <row r="35" ht="14.25" customHeight="1">
      <c r="A35" s="5"/>
      <c r="B35" s="44" t="s">
        <v>29</v>
      </c>
      <c r="C35" s="157">
        <v>9000.0</v>
      </c>
      <c r="D35" s="155" t="s">
        <v>25</v>
      </c>
      <c r="E35" s="6"/>
      <c r="F35" s="6"/>
      <c r="G35" s="6"/>
      <c r="H35" s="6"/>
      <c r="I35" s="6"/>
      <c r="J35" s="22"/>
      <c r="L35" s="41"/>
      <c r="M35" s="6"/>
      <c r="O35" s="217"/>
      <c r="Q35" s="233"/>
      <c r="R35" s="213"/>
      <c r="S35" s="264"/>
    </row>
    <row r="36" ht="14.25" customHeight="1">
      <c r="A36" s="5"/>
      <c r="B36" s="44" t="s">
        <v>31</v>
      </c>
      <c r="C36" s="44">
        <v>5000.0</v>
      </c>
      <c r="D36" s="155" t="s">
        <v>25</v>
      </c>
      <c r="E36" s="6"/>
      <c r="F36" s="6"/>
      <c r="G36" s="6"/>
      <c r="H36" s="6"/>
      <c r="I36" s="6"/>
      <c r="J36" s="22"/>
      <c r="L36" s="41"/>
      <c r="M36" s="6"/>
      <c r="O36" s="217"/>
      <c r="Q36" s="233"/>
      <c r="R36" s="213"/>
      <c r="S36" s="264"/>
    </row>
    <row r="37" ht="14.25" customHeight="1">
      <c r="A37" s="5"/>
      <c r="B37" s="44" t="s">
        <v>33</v>
      </c>
      <c r="C37" s="157">
        <v>5000.0</v>
      </c>
      <c r="D37" s="155" t="s">
        <v>25</v>
      </c>
      <c r="E37" s="6"/>
      <c r="F37" s="6"/>
      <c r="G37" s="6"/>
      <c r="H37" s="6"/>
      <c r="I37" s="6"/>
      <c r="J37" s="22"/>
      <c r="K37" s="46"/>
      <c r="L37" s="47"/>
      <c r="M37" s="6"/>
      <c r="O37" s="217"/>
      <c r="P37" s="46"/>
      <c r="Q37" s="235"/>
      <c r="R37" s="213"/>
      <c r="S37" s="264"/>
    </row>
    <row r="38" ht="14.25" customHeight="1">
      <c r="A38" s="5"/>
      <c r="B38" s="157" t="s">
        <v>181</v>
      </c>
      <c r="C38" s="157">
        <v>10000.0</v>
      </c>
      <c r="D38" s="155" t="s">
        <v>25</v>
      </c>
      <c r="E38" s="6"/>
      <c r="F38" s="6"/>
      <c r="G38" s="6"/>
      <c r="H38" s="6"/>
      <c r="I38" s="6"/>
      <c r="J38" s="158" t="s">
        <v>182</v>
      </c>
      <c r="K38" s="38"/>
      <c r="L38" s="49">
        <f>SUM(L24:L36)</f>
        <v>11825</v>
      </c>
      <c r="M38" s="6"/>
      <c r="O38" s="236" t="s">
        <v>182</v>
      </c>
      <c r="P38" s="38"/>
      <c r="Q38" s="237">
        <f>SUM(Q24:Q36)</f>
        <v>170000</v>
      </c>
      <c r="R38" s="213"/>
      <c r="S38" s="264"/>
    </row>
    <row r="39" ht="14.25" customHeight="1">
      <c r="A39" s="5"/>
      <c r="B39" s="157" t="s">
        <v>183</v>
      </c>
      <c r="C39" s="157">
        <v>12000.0</v>
      </c>
      <c r="D39" s="155" t="s">
        <v>25</v>
      </c>
      <c r="E39" s="6"/>
      <c r="F39" s="6"/>
      <c r="G39" s="6"/>
      <c r="H39" s="6"/>
      <c r="I39" s="6"/>
      <c r="J39" s="135"/>
      <c r="L39" s="136"/>
      <c r="M39" s="6"/>
      <c r="O39" s="238"/>
      <c r="Q39" s="239"/>
      <c r="R39" s="213"/>
      <c r="S39" s="264"/>
    </row>
    <row r="40" ht="14.25" customHeight="1">
      <c r="A40" s="5"/>
      <c r="B40" s="142" t="s">
        <v>325</v>
      </c>
      <c r="C40" s="157">
        <v>13000.0</v>
      </c>
      <c r="D40" s="155" t="s">
        <v>25</v>
      </c>
      <c r="E40" s="6"/>
      <c r="F40" s="6"/>
      <c r="G40" s="6"/>
      <c r="H40" s="6"/>
      <c r="I40" s="6"/>
      <c r="J40" s="135"/>
      <c r="L40" s="134"/>
      <c r="M40" s="6"/>
      <c r="O40" s="234"/>
      <c r="Q40" s="233"/>
      <c r="R40" s="213"/>
      <c r="S40" s="264"/>
    </row>
    <row r="41" ht="14.25" customHeight="1">
      <c r="A41" s="5"/>
      <c r="B41" s="53" t="s">
        <v>11</v>
      </c>
      <c r="C41" s="160">
        <f>SUM(C32:C40)</f>
        <v>100000</v>
      </c>
      <c r="D41" s="55"/>
      <c r="E41" s="6"/>
      <c r="F41" s="6"/>
      <c r="G41" s="6"/>
      <c r="H41" s="6"/>
      <c r="I41" s="6"/>
      <c r="J41" s="135"/>
      <c r="L41" s="134"/>
      <c r="M41" s="6"/>
      <c r="O41" s="234"/>
      <c r="Q41" s="233"/>
      <c r="R41" s="213"/>
      <c r="S41" s="264"/>
    </row>
    <row r="42" ht="14.25" customHeight="1">
      <c r="A42" s="5"/>
      <c r="B42" s="56"/>
      <c r="C42" s="57"/>
      <c r="D42" s="58"/>
      <c r="E42" s="6"/>
      <c r="F42" s="6"/>
      <c r="G42" s="6"/>
      <c r="H42" s="6"/>
      <c r="I42" s="6"/>
      <c r="J42" s="135"/>
      <c r="L42" s="134"/>
      <c r="M42" s="6"/>
      <c r="O42" s="234"/>
      <c r="Q42" s="233"/>
      <c r="R42" s="213"/>
      <c r="S42" s="264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50"/>
      <c r="L43" s="41"/>
      <c r="M43" s="22"/>
      <c r="N43" s="6"/>
      <c r="O43" s="234"/>
      <c r="Q43" s="233"/>
      <c r="R43" s="217"/>
      <c r="S43" s="264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50"/>
      <c r="L44" s="80"/>
      <c r="M44" s="22"/>
      <c r="N44" s="6"/>
      <c r="O44" s="234"/>
      <c r="Q44" s="240"/>
      <c r="R44" s="217"/>
      <c r="S44" s="264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22"/>
      <c r="O45" s="234"/>
      <c r="Q45" s="233"/>
      <c r="R45" s="217"/>
      <c r="S45" s="264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81"/>
      <c r="K46" s="46"/>
      <c r="L46" s="19"/>
      <c r="M46" s="22"/>
      <c r="O46" s="241"/>
      <c r="P46" s="46"/>
      <c r="Q46" s="242"/>
      <c r="R46" s="217"/>
      <c r="S46" s="264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81"/>
      <c r="K47" s="46"/>
      <c r="L47" s="19"/>
      <c r="M47" s="22"/>
      <c r="O47" s="241"/>
      <c r="P47" s="46"/>
      <c r="Q47" s="242"/>
      <c r="R47" s="217"/>
      <c r="S47" s="264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50"/>
      <c r="L48" s="47"/>
      <c r="M48" s="6"/>
      <c r="O48" s="234"/>
      <c r="Q48" s="235"/>
      <c r="R48" s="213"/>
      <c r="S48" s="264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161" t="s">
        <v>185</v>
      </c>
      <c r="K49" s="60"/>
      <c r="L49" s="82">
        <f>SUM(L39:L48)</f>
        <v>0</v>
      </c>
      <c r="M49" s="6"/>
      <c r="O49" s="243" t="s">
        <v>185</v>
      </c>
      <c r="P49" s="60"/>
      <c r="Q49" s="244">
        <f>SUM(Q39:Q48)</f>
        <v>0</v>
      </c>
      <c r="R49" s="213"/>
      <c r="S49" s="264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163" t="s">
        <v>186</v>
      </c>
      <c r="K50" s="37"/>
      <c r="L50" s="38"/>
      <c r="M50" s="83">
        <f>L38+L49</f>
        <v>11825</v>
      </c>
      <c r="O50" s="245" t="s">
        <v>186</v>
      </c>
      <c r="P50" s="37"/>
      <c r="Q50" s="38"/>
      <c r="R50" s="229">
        <f>Q38+Q49</f>
        <v>170000</v>
      </c>
      <c r="S50" s="264"/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165" t="s">
        <v>413</v>
      </c>
      <c r="K51" s="37"/>
      <c r="L51" s="38"/>
      <c r="M51" s="166">
        <f>M23-M50</f>
        <v>26000</v>
      </c>
      <c r="O51" s="246" t="s">
        <v>39</v>
      </c>
      <c r="P51" s="37"/>
      <c r="Q51" s="38"/>
      <c r="R51" s="218">
        <f>R23-R50</f>
        <v>-29000</v>
      </c>
      <c r="S51" s="264"/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167" t="s">
        <v>414</v>
      </c>
      <c r="K52" s="37"/>
      <c r="L52" s="84"/>
      <c r="M52" s="168"/>
      <c r="N52" s="78"/>
      <c r="O52" s="247" t="s">
        <v>40</v>
      </c>
      <c r="P52" s="37"/>
      <c r="Q52" s="84"/>
      <c r="R52" s="249"/>
      <c r="S52" s="264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266" t="s">
        <v>415</v>
      </c>
      <c r="K53" s="86"/>
      <c r="L53" s="267"/>
      <c r="M53" s="268"/>
      <c r="N53" s="78"/>
      <c r="O53" s="247" t="s">
        <v>56</v>
      </c>
      <c r="P53" s="37"/>
      <c r="Q53" s="84"/>
      <c r="R53" s="249">
        <f>O58+R51</f>
        <v>1971000</v>
      </c>
      <c r="S53" s="264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131"/>
      <c r="K54" s="131"/>
      <c r="L54" s="6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131"/>
      <c r="I55" s="6"/>
      <c r="J55" s="131" t="s">
        <v>253</v>
      </c>
      <c r="K55" s="131">
        <v>439000.0</v>
      </c>
      <c r="L55" s="251" t="s">
        <v>416</v>
      </c>
      <c r="O55" s="269" t="s">
        <v>417</v>
      </c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131" t="s">
        <v>227</v>
      </c>
      <c r="K56" s="131">
        <v>442000.0</v>
      </c>
      <c r="L56" s="253">
        <v>46064.0</v>
      </c>
      <c r="M56" s="131">
        <v>145000.0</v>
      </c>
      <c r="O56" s="254">
        <v>1000000.0</v>
      </c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255" t="s">
        <v>403</v>
      </c>
      <c r="K57" s="256">
        <f>K55+K56</f>
        <v>881000</v>
      </c>
      <c r="L57" s="253">
        <v>46079.0</v>
      </c>
      <c r="M57" s="131">
        <v>145000.0</v>
      </c>
      <c r="O57" s="254">
        <v>1000000.0</v>
      </c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131" t="s">
        <v>253</v>
      </c>
      <c r="K58" s="131">
        <v>439000.0</v>
      </c>
      <c r="L58" s="257" t="s">
        <v>402</v>
      </c>
      <c r="M58" s="258">
        <f>SUM(M56:M57)</f>
        <v>290000</v>
      </c>
      <c r="N58" s="250"/>
      <c r="O58" s="259">
        <f>SUM(O56:O57)</f>
        <v>2000000</v>
      </c>
    </row>
    <row r="59" ht="14.25" customHeight="1">
      <c r="A59" s="5"/>
      <c r="B59" s="6"/>
      <c r="C59" s="6"/>
      <c r="D59" s="6"/>
      <c r="E59" s="6"/>
      <c r="F59" s="6"/>
      <c r="G59" s="6"/>
      <c r="H59" s="6"/>
      <c r="I59" s="6"/>
      <c r="J59" s="131" t="s">
        <v>227</v>
      </c>
      <c r="K59" s="131">
        <v>152000.0</v>
      </c>
      <c r="L59" s="6"/>
      <c r="M59" s="250"/>
      <c r="N59" s="250"/>
      <c r="O59" s="260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6"/>
      <c r="J60" s="270" t="s">
        <v>401</v>
      </c>
      <c r="K60" s="271">
        <f>K57-M58</f>
        <v>591000</v>
      </c>
      <c r="L60" s="6"/>
      <c r="M60" s="250"/>
      <c r="N60" s="250"/>
      <c r="O60" s="260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6"/>
      <c r="J61" s="250"/>
      <c r="K61" s="250"/>
      <c r="L61" s="6"/>
      <c r="M61" s="250"/>
      <c r="N61" s="250"/>
      <c r="O61" s="260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6"/>
      <c r="J62" s="272" t="s">
        <v>247</v>
      </c>
      <c r="K62" s="273">
        <f>230000+K55</f>
        <v>669000</v>
      </c>
      <c r="L62" s="131" t="s">
        <v>418</v>
      </c>
      <c r="M62" s="250"/>
      <c r="N62" s="250"/>
      <c r="O62" s="19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6"/>
      <c r="J63" s="272" t="s">
        <v>248</v>
      </c>
      <c r="K63" s="273">
        <v>152000.0</v>
      </c>
      <c r="L63" s="6"/>
      <c r="M63" s="250"/>
      <c r="N63" s="250"/>
      <c r="O63" s="250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6"/>
      <c r="J64" s="250"/>
      <c r="K64" s="250"/>
      <c r="L64" s="6"/>
      <c r="M64" s="250"/>
      <c r="N64" s="250"/>
      <c r="O64" s="250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6"/>
      <c r="J65" s="171" t="s">
        <v>168</v>
      </c>
      <c r="K65" s="70"/>
      <c r="L65" s="44" t="s">
        <v>3</v>
      </c>
      <c r="M65" s="250"/>
      <c r="N65" s="250"/>
      <c r="O65" s="250"/>
    </row>
    <row r="66" ht="14.25" customHeight="1">
      <c r="I66" s="6"/>
      <c r="J66" s="71" t="s">
        <v>42</v>
      </c>
      <c r="K66" s="29"/>
      <c r="L66" s="72"/>
      <c r="M66" s="263"/>
      <c r="N66" s="250"/>
      <c r="O66" s="250"/>
    </row>
    <row r="67" ht="14.25" customHeight="1">
      <c r="I67" s="6"/>
      <c r="J67" s="17"/>
      <c r="K67" s="4"/>
      <c r="L67" s="191">
        <v>169000.0</v>
      </c>
      <c r="M67" s="263"/>
      <c r="N67" s="250"/>
      <c r="O67" s="250"/>
    </row>
    <row r="68" ht="14.25" customHeight="1">
      <c r="I68" s="6"/>
      <c r="J68" s="5"/>
      <c r="K68" s="6"/>
      <c r="L68" s="172"/>
      <c r="M68" s="250"/>
      <c r="N68" s="250"/>
      <c r="O68" s="250"/>
    </row>
    <row r="69" ht="14.25" customHeight="1">
      <c r="I69" s="6"/>
      <c r="J69" s="5"/>
      <c r="K69" s="6"/>
      <c r="L69" s="172"/>
      <c r="M69" s="250"/>
      <c r="N69" s="250"/>
      <c r="O69" s="250"/>
    </row>
    <row r="70" ht="14.25" customHeight="1">
      <c r="I70" s="6"/>
      <c r="J70" s="5"/>
      <c r="K70" s="6"/>
      <c r="L70" s="172"/>
      <c r="M70" s="250"/>
      <c r="N70" s="250"/>
      <c r="O70" s="250"/>
    </row>
    <row r="71" ht="14.25" customHeight="1">
      <c r="I71" s="6"/>
      <c r="J71" s="5"/>
      <c r="K71" s="6"/>
      <c r="L71" s="172"/>
      <c r="M71" s="250"/>
      <c r="N71" s="250"/>
      <c r="O71" s="250"/>
    </row>
    <row r="72" ht="14.25" customHeight="1">
      <c r="I72" s="6"/>
      <c r="J72" s="5"/>
      <c r="K72" s="6"/>
      <c r="L72" s="183"/>
      <c r="M72" s="250"/>
      <c r="N72" s="250"/>
      <c r="O72" s="250"/>
    </row>
    <row r="73" ht="14.25" customHeight="1">
      <c r="I73" s="6"/>
      <c r="J73" s="5"/>
      <c r="K73" s="6"/>
      <c r="L73" s="183"/>
      <c r="M73" s="250"/>
      <c r="N73" s="250"/>
      <c r="O73" s="250"/>
    </row>
    <row r="74" ht="14.25" customHeight="1">
      <c r="I74" s="6"/>
      <c r="J74" s="5"/>
      <c r="K74" s="6"/>
      <c r="L74" s="172"/>
      <c r="M74" s="250"/>
      <c r="N74" s="250"/>
      <c r="O74" s="250"/>
    </row>
    <row r="75" ht="14.25" customHeight="1">
      <c r="I75" s="6"/>
      <c r="J75" s="73" t="s">
        <v>43</v>
      </c>
      <c r="K75" s="38"/>
      <c r="L75" s="68">
        <f>SUM(L67:L74)</f>
        <v>169000</v>
      </c>
      <c r="M75" s="250"/>
      <c r="N75" s="250"/>
      <c r="O75" s="250"/>
    </row>
    <row r="76" ht="14.25" customHeight="1">
      <c r="I76" s="6"/>
      <c r="K76" s="131" t="s">
        <v>227</v>
      </c>
      <c r="L76" s="131">
        <v>169000.0</v>
      </c>
      <c r="M76" s="250"/>
      <c r="N76" s="250"/>
      <c r="O76" s="250"/>
    </row>
    <row r="77" ht="14.25" customHeight="1">
      <c r="K77" s="131" t="s">
        <v>289</v>
      </c>
      <c r="L77" s="194">
        <f>SUM(L68:L74)</f>
        <v>0</v>
      </c>
      <c r="M77" s="250"/>
      <c r="N77" s="250"/>
      <c r="O77" s="250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6"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  <mergeCell ref="O34:P34"/>
    <mergeCell ref="O35:P35"/>
    <mergeCell ref="O27:P27"/>
    <mergeCell ref="O28:P28"/>
    <mergeCell ref="O29:P29"/>
    <mergeCell ref="O30:P30"/>
    <mergeCell ref="O31:P31"/>
    <mergeCell ref="O32:P32"/>
    <mergeCell ref="O33:P33"/>
    <mergeCell ref="J38:K38"/>
    <mergeCell ref="J39:K39"/>
    <mergeCell ref="J40:K40"/>
    <mergeCell ref="J34:K34"/>
    <mergeCell ref="J35:K35"/>
    <mergeCell ref="J36:K36"/>
    <mergeCell ref="O36:P36"/>
    <mergeCell ref="J37:K37"/>
    <mergeCell ref="O37:P37"/>
    <mergeCell ref="O38:P38"/>
    <mergeCell ref="O45:P45"/>
    <mergeCell ref="O46:P46"/>
    <mergeCell ref="J42:K42"/>
    <mergeCell ref="J43:K43"/>
    <mergeCell ref="O43:P43"/>
    <mergeCell ref="J44:K44"/>
    <mergeCell ref="O44:P44"/>
    <mergeCell ref="J45:K45"/>
    <mergeCell ref="J46:K46"/>
    <mergeCell ref="J50:L50"/>
    <mergeCell ref="J51:L51"/>
    <mergeCell ref="J52:L52"/>
    <mergeCell ref="J53:L53"/>
    <mergeCell ref="L55:M55"/>
    <mergeCell ref="J65:K65"/>
    <mergeCell ref="J66:L66"/>
    <mergeCell ref="J75:K75"/>
    <mergeCell ref="O51:Q51"/>
    <mergeCell ref="O52:Q52"/>
    <mergeCell ref="O53:Q53"/>
    <mergeCell ref="O55:P55"/>
    <mergeCell ref="J47:K47"/>
    <mergeCell ref="O47:P47"/>
    <mergeCell ref="J48:K48"/>
    <mergeCell ref="O48:P48"/>
    <mergeCell ref="J49:K49"/>
    <mergeCell ref="O49:P49"/>
    <mergeCell ref="O50:Q50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J10:K10"/>
    <mergeCell ref="O10:P10"/>
    <mergeCell ref="D11:D13"/>
    <mergeCell ref="J11:K11"/>
    <mergeCell ref="O11:P11"/>
    <mergeCell ref="J12:L12"/>
    <mergeCell ref="B14:C14"/>
    <mergeCell ref="O14:P14"/>
    <mergeCell ref="J13:K13"/>
    <mergeCell ref="J14:K14"/>
    <mergeCell ref="J15:K15"/>
    <mergeCell ref="J16:K16"/>
    <mergeCell ref="J17:K17"/>
    <mergeCell ref="J18:K18"/>
    <mergeCell ref="J19:K19"/>
    <mergeCell ref="J20:L20"/>
    <mergeCell ref="J21:L21"/>
    <mergeCell ref="J22:L22"/>
    <mergeCell ref="J23:L23"/>
    <mergeCell ref="J24:L24"/>
    <mergeCell ref="J25:L25"/>
    <mergeCell ref="J26:K26"/>
    <mergeCell ref="J27:K27"/>
    <mergeCell ref="J28:K28"/>
    <mergeCell ref="J29:K29"/>
    <mergeCell ref="J30:K30"/>
    <mergeCell ref="J31:K31"/>
    <mergeCell ref="J32:K32"/>
    <mergeCell ref="J33:K33"/>
    <mergeCell ref="O39:P39"/>
    <mergeCell ref="O40:P40"/>
    <mergeCell ref="B41:B42"/>
    <mergeCell ref="C41:D42"/>
    <mergeCell ref="J41:K41"/>
    <mergeCell ref="O41:P41"/>
    <mergeCell ref="O42:P42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" width="15.43"/>
    <col customWidth="1" min="4" max="4" width="19.29"/>
    <col customWidth="1" min="5" max="9" width="8.71"/>
    <col customWidth="1" min="10" max="10" width="36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39" t="s">
        <v>190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140" t="s">
        <v>190</v>
      </c>
      <c r="K6" s="10"/>
      <c r="L6" s="11" t="s">
        <v>3</v>
      </c>
      <c r="M6" s="6"/>
      <c r="O6" s="211" t="s">
        <v>168</v>
      </c>
      <c r="P6" s="10"/>
      <c r="Q6" s="212" t="s">
        <v>3</v>
      </c>
      <c r="R6" s="213"/>
      <c r="S6" s="264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203" t="s">
        <v>362</v>
      </c>
      <c r="K7" s="15"/>
      <c r="L7" s="16"/>
      <c r="M7" s="6"/>
      <c r="O7" s="214" t="s">
        <v>5</v>
      </c>
      <c r="P7" s="15"/>
      <c r="Q7" s="16"/>
      <c r="R7" s="213"/>
      <c r="S7" s="264"/>
    </row>
    <row r="8" ht="14.25" customHeight="1">
      <c r="A8" s="5"/>
      <c r="B8" s="17"/>
      <c r="C8" s="17" t="s">
        <v>6</v>
      </c>
      <c r="D8" s="142">
        <v>0.0</v>
      </c>
      <c r="E8" s="6"/>
      <c r="F8" s="6"/>
      <c r="G8" s="6"/>
      <c r="H8" s="6"/>
      <c r="I8" s="6"/>
      <c r="J8" s="143" t="s">
        <v>419</v>
      </c>
      <c r="K8" s="98"/>
      <c r="L8" s="144"/>
      <c r="M8" s="6"/>
      <c r="O8" s="215" t="s">
        <v>191</v>
      </c>
      <c r="P8" s="98"/>
      <c r="Q8" s="216">
        <v>0.0</v>
      </c>
      <c r="R8" s="213"/>
      <c r="S8" s="264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132" t="s">
        <v>405</v>
      </c>
      <c r="L9" s="146"/>
      <c r="M9" s="6"/>
      <c r="O9" s="217"/>
      <c r="Q9" s="218"/>
      <c r="R9" s="213"/>
      <c r="S9" s="264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132"/>
      <c r="L10" s="146"/>
      <c r="M10" s="6"/>
      <c r="O10" s="217"/>
      <c r="Q10" s="218"/>
      <c r="R10" s="213"/>
      <c r="S10" s="264"/>
    </row>
    <row r="11" ht="14.25" customHeight="1">
      <c r="A11" s="5"/>
      <c r="B11" s="17"/>
      <c r="C11" s="18"/>
      <c r="D11" s="219">
        <v>0.0</v>
      </c>
      <c r="E11" s="6"/>
      <c r="F11" s="6"/>
      <c r="G11" s="6"/>
      <c r="H11" s="6"/>
      <c r="I11" s="6"/>
      <c r="J11" s="103"/>
      <c r="K11" s="104"/>
      <c r="L11" s="23"/>
      <c r="M11" s="179">
        <v>26000.0</v>
      </c>
      <c r="O11" s="220"/>
      <c r="P11" s="104"/>
      <c r="Q11" s="218"/>
      <c r="R11" s="221">
        <f>SUM(Q8:Q11)</f>
        <v>0</v>
      </c>
      <c r="S11" s="264"/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04" t="s">
        <v>364</v>
      </c>
      <c r="K12" s="29"/>
      <c r="L12" s="30"/>
      <c r="M12" s="6"/>
      <c r="O12" s="222" t="s">
        <v>10</v>
      </c>
      <c r="P12" s="29"/>
      <c r="Q12" s="30"/>
      <c r="R12" s="213"/>
      <c r="S12" s="264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43"/>
      <c r="K13" s="98"/>
      <c r="L13" s="144"/>
      <c r="M13" s="6"/>
      <c r="O13" s="215"/>
      <c r="P13" s="98"/>
      <c r="Q13" s="223"/>
      <c r="R13" s="213"/>
      <c r="S13" s="264"/>
    </row>
    <row r="14" ht="14.25" customHeight="1">
      <c r="A14" s="5"/>
      <c r="B14" s="32" t="s">
        <v>11</v>
      </c>
      <c r="C14" s="33"/>
      <c r="D14" s="34">
        <f>SUM(D8:D13)</f>
        <v>100000</v>
      </c>
      <c r="E14" s="6"/>
      <c r="F14" s="6"/>
      <c r="G14" s="6"/>
      <c r="H14" s="6"/>
      <c r="I14" s="6"/>
      <c r="J14" s="132" t="s">
        <v>193</v>
      </c>
      <c r="L14" s="146">
        <v>9000.0</v>
      </c>
      <c r="M14" s="6"/>
      <c r="O14" s="224" t="s">
        <v>420</v>
      </c>
      <c r="Q14" s="218"/>
      <c r="R14" s="213"/>
      <c r="S14" s="264"/>
    </row>
    <row r="15" ht="14.25" customHeight="1">
      <c r="A15" s="5"/>
      <c r="B15" s="35"/>
      <c r="C15" s="35"/>
      <c r="D15" s="35"/>
      <c r="E15" s="6"/>
      <c r="F15" s="6"/>
      <c r="G15" s="6"/>
      <c r="H15" s="6"/>
      <c r="I15" s="6"/>
      <c r="J15" s="132"/>
      <c r="L15" s="23"/>
      <c r="M15" s="6"/>
      <c r="O15" s="217"/>
      <c r="Q15" s="218"/>
      <c r="R15" s="213"/>
      <c r="S15" s="264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L16" s="23"/>
      <c r="M16" s="6"/>
      <c r="O16" s="217"/>
      <c r="Q16" s="218"/>
      <c r="R16" s="213"/>
      <c r="S16" s="264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22"/>
      <c r="L17" s="23"/>
      <c r="M17" s="6"/>
      <c r="O17" s="217"/>
      <c r="Q17" s="218"/>
      <c r="R17" s="213"/>
      <c r="S17" s="264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217"/>
      <c r="Q18" s="218"/>
      <c r="R18" s="213"/>
      <c r="S18" s="264"/>
    </row>
    <row r="19" ht="14.25" customHeight="1">
      <c r="A19" s="5"/>
      <c r="B19" s="6"/>
      <c r="C19" s="6"/>
      <c r="D19" s="6"/>
      <c r="E19" s="6"/>
      <c r="F19" s="6"/>
      <c r="G19" s="6"/>
      <c r="H19" s="6"/>
      <c r="I19" s="6"/>
      <c r="J19" s="22"/>
      <c r="L19" s="23"/>
      <c r="M19" s="179">
        <f>SUM(L13:L19)</f>
        <v>9000</v>
      </c>
      <c r="O19" s="217"/>
      <c r="Q19" s="218"/>
      <c r="R19" s="221">
        <f>SUM(Q13:Q18)</f>
        <v>0</v>
      </c>
      <c r="S19" s="264"/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225"/>
      <c r="P20" s="76"/>
      <c r="Q20" s="77"/>
      <c r="R20" s="226"/>
      <c r="S20" s="264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227"/>
      <c r="P21" s="37"/>
      <c r="Q21" s="38"/>
      <c r="R21" s="226"/>
      <c r="S21" s="264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228"/>
      <c r="P22" s="37"/>
      <c r="Q22" s="38"/>
      <c r="R22" s="229"/>
      <c r="S22" s="264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147" t="s">
        <v>12</v>
      </c>
      <c r="K23" s="86"/>
      <c r="L23" s="55"/>
      <c r="M23" s="148">
        <f>M11+M19</f>
        <v>35000</v>
      </c>
      <c r="N23" s="78"/>
      <c r="O23" s="230" t="s">
        <v>12</v>
      </c>
      <c r="P23" s="37"/>
      <c r="Q23" s="38"/>
      <c r="R23" s="231">
        <f>R11+R19</f>
        <v>0</v>
      </c>
      <c r="S23" s="264"/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49" t="s">
        <v>172</v>
      </c>
      <c r="K24" s="37"/>
      <c r="L24" s="38"/>
      <c r="M24" s="150"/>
      <c r="O24" s="224"/>
      <c r="Q24" s="232"/>
      <c r="R24" s="213"/>
      <c r="S24" s="264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51" t="s">
        <v>173</v>
      </c>
      <c r="K25" s="37"/>
      <c r="L25" s="38"/>
      <c r="M25" s="152"/>
      <c r="O25" s="224"/>
      <c r="Q25" s="265"/>
      <c r="R25" s="213"/>
      <c r="S25" s="264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5" t="s">
        <v>410</v>
      </c>
      <c r="L26" s="136">
        <v>5000.0</v>
      </c>
      <c r="M26" s="6"/>
      <c r="O26" s="217"/>
      <c r="Q26" s="233"/>
      <c r="R26" s="213"/>
      <c r="S26" s="264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135" t="s">
        <v>421</v>
      </c>
      <c r="L27" s="134">
        <v>3500.0</v>
      </c>
      <c r="M27" s="6"/>
      <c r="O27" s="217"/>
      <c r="Q27" s="233"/>
      <c r="R27" s="213"/>
      <c r="S27" s="264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135" t="s">
        <v>422</v>
      </c>
      <c r="L28" s="134">
        <v>1000.0</v>
      </c>
      <c r="M28" s="6"/>
      <c r="O28" s="234"/>
      <c r="P28" s="46"/>
      <c r="Q28" s="233"/>
      <c r="R28" s="213"/>
      <c r="S28" s="264"/>
    </row>
    <row r="29" ht="14.25" customHeight="1">
      <c r="A29" s="6"/>
      <c r="B29" s="153" t="s">
        <v>190</v>
      </c>
      <c r="C29" s="8"/>
      <c r="D29" s="6"/>
      <c r="E29" s="6"/>
      <c r="F29" s="6"/>
      <c r="G29" s="6"/>
      <c r="H29" s="6"/>
      <c r="I29" s="6"/>
      <c r="J29" s="135" t="s">
        <v>423</v>
      </c>
      <c r="L29" s="134">
        <v>2500.0</v>
      </c>
      <c r="M29" s="6"/>
      <c r="O29" s="234"/>
      <c r="P29" s="46"/>
      <c r="Q29" s="233"/>
      <c r="R29" s="213"/>
      <c r="S29" s="264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135" t="s">
        <v>424</v>
      </c>
      <c r="K30" s="46"/>
      <c r="L30" s="134">
        <v>2000.0</v>
      </c>
      <c r="M30" s="6"/>
      <c r="O30" s="234"/>
      <c r="P30" s="46"/>
      <c r="Q30" s="233"/>
      <c r="R30" s="213"/>
      <c r="S30" s="264"/>
    </row>
    <row r="31" ht="14.25" customHeight="1">
      <c r="A31" s="5"/>
      <c r="B31" s="25"/>
      <c r="C31" s="27" t="s">
        <v>3</v>
      </c>
      <c r="D31" s="154" t="s">
        <v>425</v>
      </c>
      <c r="E31" s="6"/>
      <c r="F31" s="6"/>
      <c r="G31" s="6"/>
      <c r="H31" s="6"/>
      <c r="I31" s="6"/>
      <c r="J31" s="135" t="s">
        <v>426</v>
      </c>
      <c r="K31" s="46"/>
      <c r="L31" s="134">
        <v>4500.0</v>
      </c>
      <c r="M31" s="6"/>
      <c r="O31" s="234"/>
      <c r="P31" s="46"/>
      <c r="Q31" s="233"/>
      <c r="R31" s="213"/>
      <c r="S31" s="264"/>
    </row>
    <row r="32" ht="14.25" customHeight="1">
      <c r="A32" s="5"/>
      <c r="B32" s="24" t="s">
        <v>24</v>
      </c>
      <c r="C32" s="44">
        <v>41000.0</v>
      </c>
      <c r="D32" s="180" t="s">
        <v>25</v>
      </c>
      <c r="E32" s="6"/>
      <c r="F32" s="6"/>
      <c r="G32" s="6"/>
      <c r="H32" s="6"/>
      <c r="I32" s="6"/>
      <c r="J32" s="132" t="s">
        <v>427</v>
      </c>
      <c r="L32" s="134">
        <v>4500.0</v>
      </c>
      <c r="M32" s="6"/>
      <c r="O32" s="217"/>
      <c r="Q32" s="233"/>
      <c r="R32" s="213"/>
      <c r="S32" s="264"/>
    </row>
    <row r="33" ht="14.25" customHeight="1">
      <c r="A33" s="6"/>
      <c r="B33" s="44" t="s">
        <v>26</v>
      </c>
      <c r="C33" s="44">
        <v>4000.0</v>
      </c>
      <c r="D33" s="180" t="s">
        <v>25</v>
      </c>
      <c r="E33" s="6"/>
      <c r="F33" s="6"/>
      <c r="G33" s="6"/>
      <c r="H33" s="6"/>
      <c r="I33" s="6"/>
      <c r="J33" s="22"/>
      <c r="L33" s="41"/>
      <c r="M33" s="6"/>
      <c r="O33" s="217"/>
      <c r="Q33" s="233"/>
      <c r="R33" s="213"/>
      <c r="S33" s="264"/>
    </row>
    <row r="34" ht="14.25" customHeight="1">
      <c r="A34" s="5"/>
      <c r="B34" s="44" t="s">
        <v>27</v>
      </c>
      <c r="C34" s="44">
        <v>1000.0</v>
      </c>
      <c r="D34" s="155" t="s">
        <v>25</v>
      </c>
      <c r="E34" s="6"/>
      <c r="F34" s="6"/>
      <c r="G34" s="6"/>
      <c r="H34" s="6"/>
      <c r="I34" s="6"/>
      <c r="J34" s="22"/>
      <c r="L34" s="41"/>
      <c r="M34" s="6"/>
      <c r="O34" s="217"/>
      <c r="Q34" s="233"/>
      <c r="R34" s="213"/>
      <c r="S34" s="264"/>
    </row>
    <row r="35" ht="14.25" customHeight="1">
      <c r="A35" s="5"/>
      <c r="B35" s="44" t="s">
        <v>29</v>
      </c>
      <c r="C35" s="157">
        <v>9000.0</v>
      </c>
      <c r="D35" s="155" t="s">
        <v>25</v>
      </c>
      <c r="E35" s="6"/>
      <c r="F35" s="6"/>
      <c r="G35" s="6"/>
      <c r="H35" s="6"/>
      <c r="I35" s="6"/>
      <c r="J35" s="22"/>
      <c r="L35" s="41"/>
      <c r="M35" s="6"/>
      <c r="O35" s="217"/>
      <c r="Q35" s="233"/>
      <c r="R35" s="213"/>
      <c r="S35" s="264"/>
    </row>
    <row r="36" ht="14.25" customHeight="1">
      <c r="A36" s="5"/>
      <c r="B36" s="44" t="s">
        <v>31</v>
      </c>
      <c r="C36" s="44">
        <v>5000.0</v>
      </c>
      <c r="D36" s="155" t="s">
        <v>25</v>
      </c>
      <c r="E36" s="6"/>
      <c r="F36" s="6"/>
      <c r="G36" s="6"/>
      <c r="H36" s="6"/>
      <c r="I36" s="6"/>
      <c r="J36" s="22"/>
      <c r="L36" s="41"/>
      <c r="M36" s="6"/>
      <c r="O36" s="217"/>
      <c r="Q36" s="233"/>
      <c r="R36" s="213"/>
      <c r="S36" s="264"/>
    </row>
    <row r="37" ht="14.25" customHeight="1">
      <c r="A37" s="5"/>
      <c r="B37" s="44" t="s">
        <v>33</v>
      </c>
      <c r="C37" s="157">
        <v>7000.0</v>
      </c>
      <c r="D37" s="155" t="s">
        <v>25</v>
      </c>
      <c r="E37" s="6"/>
      <c r="F37" s="6"/>
      <c r="G37" s="6"/>
      <c r="H37" s="6"/>
      <c r="I37" s="6"/>
      <c r="J37" s="22"/>
      <c r="K37" s="46"/>
      <c r="L37" s="47"/>
      <c r="M37" s="6"/>
      <c r="O37" s="217"/>
      <c r="P37" s="46"/>
      <c r="Q37" s="235"/>
      <c r="R37" s="213"/>
      <c r="S37" s="264"/>
    </row>
    <row r="38" ht="14.25" customHeight="1">
      <c r="A38" s="5"/>
      <c r="B38" s="157" t="s">
        <v>181</v>
      </c>
      <c r="C38" s="157">
        <v>10000.0</v>
      </c>
      <c r="D38" s="155" t="s">
        <v>25</v>
      </c>
      <c r="E38" s="6"/>
      <c r="F38" s="6"/>
      <c r="G38" s="6"/>
      <c r="H38" s="6"/>
      <c r="I38" s="6"/>
      <c r="J38" s="158" t="s">
        <v>202</v>
      </c>
      <c r="K38" s="38"/>
      <c r="L38" s="49">
        <f>SUM(L24:L36)</f>
        <v>23000</v>
      </c>
      <c r="M38" s="6"/>
      <c r="O38" s="236" t="s">
        <v>202</v>
      </c>
      <c r="P38" s="38"/>
      <c r="Q38" s="237">
        <f>SUM(Q24:Q36)</f>
        <v>0</v>
      </c>
      <c r="R38" s="213"/>
      <c r="S38" s="264"/>
    </row>
    <row r="39" ht="14.25" customHeight="1">
      <c r="A39" s="5"/>
      <c r="B39" s="157" t="s">
        <v>183</v>
      </c>
      <c r="C39" s="157">
        <v>10000.0</v>
      </c>
      <c r="D39" s="155" t="s">
        <v>25</v>
      </c>
      <c r="E39" s="6"/>
      <c r="F39" s="6"/>
      <c r="G39" s="6"/>
      <c r="H39" s="6"/>
      <c r="I39" s="6"/>
      <c r="J39" s="135" t="s">
        <v>410</v>
      </c>
      <c r="L39" s="136">
        <v>10000.0</v>
      </c>
      <c r="M39" s="6"/>
      <c r="O39" s="238" t="s">
        <v>428</v>
      </c>
      <c r="Q39" s="239">
        <v>20000.0</v>
      </c>
      <c r="R39" s="213"/>
      <c r="S39" s="264"/>
    </row>
    <row r="40" ht="14.25" customHeight="1">
      <c r="A40" s="5"/>
      <c r="B40" s="142" t="s">
        <v>325</v>
      </c>
      <c r="C40" s="157">
        <v>13000.0</v>
      </c>
      <c r="D40" s="155" t="s">
        <v>25</v>
      </c>
      <c r="E40" s="6"/>
      <c r="F40" s="6"/>
      <c r="G40" s="6"/>
      <c r="H40" s="6"/>
      <c r="I40" s="6"/>
      <c r="J40" s="135" t="s">
        <v>422</v>
      </c>
      <c r="L40" s="134">
        <v>4000.0</v>
      </c>
      <c r="M40" s="6"/>
      <c r="O40" s="238" t="s">
        <v>429</v>
      </c>
      <c r="Q40" s="265">
        <v>10000.0</v>
      </c>
      <c r="R40" s="213"/>
      <c r="S40" s="264"/>
    </row>
    <row r="41" ht="14.25" customHeight="1">
      <c r="A41" s="5"/>
      <c r="B41" s="53" t="s">
        <v>11</v>
      </c>
      <c r="C41" s="160">
        <f>SUM(C32:C40)</f>
        <v>100000</v>
      </c>
      <c r="D41" s="55"/>
      <c r="E41" s="6"/>
      <c r="F41" s="6"/>
      <c r="G41" s="6"/>
      <c r="H41" s="6"/>
      <c r="I41" s="6"/>
      <c r="J41" s="135"/>
      <c r="L41" s="134"/>
      <c r="M41" s="6"/>
      <c r="O41" s="238" t="s">
        <v>430</v>
      </c>
      <c r="Q41" s="265">
        <v>50000.0</v>
      </c>
      <c r="R41" s="213"/>
      <c r="S41" s="264"/>
    </row>
    <row r="42" ht="14.25" customHeight="1">
      <c r="A42" s="5"/>
      <c r="B42" s="56"/>
      <c r="C42" s="57"/>
      <c r="D42" s="58"/>
      <c r="E42" s="6"/>
      <c r="F42" s="6"/>
      <c r="G42" s="6"/>
      <c r="H42" s="6"/>
      <c r="I42" s="6"/>
      <c r="J42" s="135"/>
      <c r="L42" s="134"/>
      <c r="M42" s="6"/>
      <c r="O42" s="234"/>
      <c r="Q42" s="233"/>
      <c r="R42" s="213"/>
      <c r="S42" s="264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50"/>
      <c r="L43" s="41"/>
      <c r="M43" s="22"/>
      <c r="N43" s="6"/>
      <c r="O43" s="234"/>
      <c r="Q43" s="233"/>
      <c r="R43" s="217"/>
      <c r="S43" s="264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50"/>
      <c r="L44" s="80"/>
      <c r="M44" s="22"/>
      <c r="N44" s="6"/>
      <c r="O44" s="234"/>
      <c r="Q44" s="240"/>
      <c r="R44" s="217"/>
      <c r="S44" s="264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22"/>
      <c r="O45" s="234"/>
      <c r="Q45" s="233"/>
      <c r="R45" s="217"/>
      <c r="S45" s="264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81"/>
      <c r="K46" s="46"/>
      <c r="L46" s="19"/>
      <c r="M46" s="22"/>
      <c r="O46" s="241"/>
      <c r="P46" s="46"/>
      <c r="Q46" s="242"/>
      <c r="R46" s="217"/>
      <c r="S46" s="264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81"/>
      <c r="K47" s="46"/>
      <c r="L47" s="19"/>
      <c r="M47" s="22"/>
      <c r="O47" s="241"/>
      <c r="P47" s="46"/>
      <c r="Q47" s="242"/>
      <c r="R47" s="217"/>
      <c r="S47" s="264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50"/>
      <c r="L48" s="47"/>
      <c r="M48" s="131" t="s">
        <v>431</v>
      </c>
      <c r="O48" s="234"/>
      <c r="Q48" s="235"/>
      <c r="R48" s="213"/>
      <c r="S48" s="264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161" t="s">
        <v>204</v>
      </c>
      <c r="K49" s="60"/>
      <c r="L49" s="82">
        <f>SUM(L39:L48)</f>
        <v>14000</v>
      </c>
      <c r="M49" s="6"/>
      <c r="O49" s="243" t="s">
        <v>204</v>
      </c>
      <c r="P49" s="60"/>
      <c r="Q49" s="244">
        <f>SUM(Q39:Q48)</f>
        <v>80000</v>
      </c>
      <c r="R49" s="213"/>
      <c r="S49" s="264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163" t="s">
        <v>205</v>
      </c>
      <c r="K50" s="37"/>
      <c r="L50" s="38"/>
      <c r="M50" s="83">
        <f>L38+L49</f>
        <v>37000</v>
      </c>
      <c r="O50" s="245" t="s">
        <v>205</v>
      </c>
      <c r="P50" s="37"/>
      <c r="Q50" s="38"/>
      <c r="R50" s="229">
        <f>Q38+Q49</f>
        <v>80000</v>
      </c>
      <c r="S50" s="264"/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165" t="s">
        <v>432</v>
      </c>
      <c r="K51" s="37"/>
      <c r="L51" s="38"/>
      <c r="M51" s="166">
        <f>M23-M50</f>
        <v>-2000</v>
      </c>
      <c r="O51" s="246" t="s">
        <v>39</v>
      </c>
      <c r="P51" s="37"/>
      <c r="Q51" s="38"/>
      <c r="R51" s="218">
        <f>R23-R50</f>
        <v>-80000</v>
      </c>
      <c r="S51" s="264"/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167" t="s">
        <v>433</v>
      </c>
      <c r="K52" s="37"/>
      <c r="L52" s="84"/>
      <c r="M52" s="168"/>
      <c r="N52" s="78"/>
      <c r="O52" s="247" t="s">
        <v>40</v>
      </c>
      <c r="P52" s="37"/>
      <c r="Q52" s="84"/>
      <c r="R52" s="249"/>
      <c r="S52" s="264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266" t="s">
        <v>434</v>
      </c>
      <c r="K53" s="86"/>
      <c r="L53" s="267"/>
      <c r="M53" s="268"/>
      <c r="N53" s="78"/>
      <c r="O53" s="247" t="s">
        <v>56</v>
      </c>
      <c r="P53" s="37"/>
      <c r="Q53" s="84"/>
      <c r="R53" s="248">
        <f>1971000-R50</f>
        <v>1891000</v>
      </c>
      <c r="S53" s="264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131"/>
      <c r="K54" s="131"/>
      <c r="L54" s="6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131"/>
      <c r="I55" s="6"/>
      <c r="J55" s="272" t="s">
        <v>247</v>
      </c>
      <c r="K55" s="273">
        <v>680800.0</v>
      </c>
      <c r="L55" s="251" t="s">
        <v>416</v>
      </c>
      <c r="O55" s="269" t="s">
        <v>417</v>
      </c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272" t="s">
        <v>248</v>
      </c>
      <c r="K56" s="273">
        <v>152000.0</v>
      </c>
      <c r="L56" s="253">
        <v>46064.0</v>
      </c>
      <c r="M56" s="131">
        <v>145000.0</v>
      </c>
      <c r="O56" s="254">
        <v>1000000.0</v>
      </c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255" t="s">
        <v>403</v>
      </c>
      <c r="K57" s="256">
        <f>K55+K56</f>
        <v>832800</v>
      </c>
      <c r="L57" s="253">
        <v>46079.0</v>
      </c>
      <c r="M57" s="131">
        <v>145000.0</v>
      </c>
      <c r="O57" s="254">
        <v>1000000.0</v>
      </c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131"/>
      <c r="K58" s="131"/>
      <c r="L58" s="257" t="s">
        <v>402</v>
      </c>
      <c r="M58" s="258">
        <f>SUM(M56:M57)</f>
        <v>290000</v>
      </c>
      <c r="N58" s="250"/>
      <c r="O58" s="259">
        <f>SUM(O56:O57)</f>
        <v>2000000</v>
      </c>
    </row>
    <row r="59" ht="14.25" customHeight="1">
      <c r="A59" s="5"/>
      <c r="B59" s="6"/>
      <c r="C59" s="6"/>
      <c r="D59" s="6"/>
      <c r="E59" s="6"/>
      <c r="F59" s="6"/>
      <c r="G59" s="6"/>
      <c r="H59" s="6"/>
      <c r="I59" s="6"/>
      <c r="J59" s="131"/>
      <c r="K59" s="131"/>
      <c r="L59" s="6"/>
      <c r="M59" s="250"/>
      <c r="N59" s="250"/>
      <c r="O59" s="260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6"/>
      <c r="J60" s="196"/>
      <c r="K60" s="250"/>
      <c r="L60" s="6"/>
      <c r="M60" s="250"/>
      <c r="N60" s="250"/>
      <c r="O60" s="260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6"/>
      <c r="J61" s="250"/>
      <c r="K61" s="250"/>
      <c r="L61" s="6"/>
      <c r="M61" s="250"/>
      <c r="N61" s="250"/>
      <c r="O61" s="260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6"/>
      <c r="J62" s="196"/>
      <c r="K62" s="274"/>
      <c r="L62" s="6"/>
      <c r="M62" s="250"/>
      <c r="N62" s="250"/>
      <c r="O62" s="19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6"/>
      <c r="J63" s="196"/>
      <c r="K63" s="274"/>
      <c r="L63" s="6"/>
      <c r="M63" s="250"/>
      <c r="N63" s="250"/>
      <c r="O63" s="250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6"/>
      <c r="J64" s="250"/>
      <c r="K64" s="250"/>
      <c r="L64" s="6"/>
      <c r="M64" s="250"/>
      <c r="N64" s="250"/>
      <c r="O64" s="250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6"/>
      <c r="J65" s="171" t="s">
        <v>190</v>
      </c>
      <c r="K65" s="70"/>
      <c r="L65" s="44" t="s">
        <v>3</v>
      </c>
      <c r="M65" s="250"/>
      <c r="N65" s="250"/>
      <c r="O65" s="250"/>
    </row>
    <row r="66" ht="14.25" customHeight="1">
      <c r="I66" s="6"/>
      <c r="J66" s="71" t="s">
        <v>42</v>
      </c>
      <c r="K66" s="29"/>
      <c r="L66" s="72"/>
      <c r="M66" s="263"/>
      <c r="N66" s="250"/>
      <c r="O66" s="250"/>
    </row>
    <row r="67" ht="14.25" customHeight="1">
      <c r="I67" s="6"/>
      <c r="J67" s="17"/>
      <c r="K67" s="4"/>
      <c r="L67" s="191">
        <v>169000.0</v>
      </c>
      <c r="M67" s="263"/>
      <c r="N67" s="250"/>
      <c r="O67" s="250"/>
    </row>
    <row r="68" ht="14.25" customHeight="1">
      <c r="I68" s="6"/>
      <c r="J68" s="5"/>
      <c r="K68" s="6"/>
      <c r="L68" s="172">
        <v>5000.0</v>
      </c>
      <c r="M68" s="250"/>
      <c r="N68" s="250"/>
      <c r="O68" s="250"/>
    </row>
    <row r="69" ht="14.25" customHeight="1">
      <c r="I69" s="6"/>
      <c r="J69" s="275" t="s">
        <v>435</v>
      </c>
      <c r="L69" s="172">
        <v>4000.0</v>
      </c>
      <c r="M69" s="250"/>
      <c r="N69" s="250"/>
      <c r="O69" s="250"/>
    </row>
    <row r="70" ht="14.25" customHeight="1">
      <c r="I70" s="6"/>
      <c r="J70" s="5"/>
      <c r="K70" s="6"/>
      <c r="L70" s="172"/>
      <c r="M70" s="250"/>
      <c r="N70" s="250"/>
      <c r="O70" s="250"/>
    </row>
    <row r="71" ht="14.25" customHeight="1">
      <c r="I71" s="6"/>
      <c r="J71" s="5"/>
      <c r="K71" s="6"/>
      <c r="L71" s="172"/>
      <c r="M71" s="250"/>
      <c r="N71" s="250"/>
      <c r="O71" s="250"/>
    </row>
    <row r="72" ht="14.25" customHeight="1">
      <c r="I72" s="6"/>
      <c r="J72" s="5"/>
      <c r="K72" s="6"/>
      <c r="L72" s="183"/>
      <c r="M72" s="250"/>
      <c r="N72" s="250"/>
      <c r="O72" s="250"/>
    </row>
    <row r="73" ht="14.25" customHeight="1">
      <c r="I73" s="6"/>
      <c r="J73" s="5"/>
      <c r="K73" s="6"/>
      <c r="L73" s="183"/>
      <c r="M73" s="250"/>
      <c r="N73" s="250"/>
      <c r="O73" s="250"/>
    </row>
    <row r="74" ht="14.25" customHeight="1">
      <c r="I74" s="6"/>
      <c r="J74" s="5"/>
      <c r="K74" s="6"/>
      <c r="L74" s="172"/>
      <c r="M74" s="250"/>
      <c r="N74" s="250"/>
      <c r="O74" s="250"/>
    </row>
    <row r="75" ht="14.25" customHeight="1">
      <c r="I75" s="6"/>
      <c r="J75" s="73" t="s">
        <v>43</v>
      </c>
      <c r="K75" s="38"/>
      <c r="L75" s="68">
        <f>SUM(L67:L74)</f>
        <v>178000</v>
      </c>
      <c r="M75" s="250"/>
      <c r="N75" s="250"/>
      <c r="O75" s="250"/>
    </row>
    <row r="76" ht="14.25" customHeight="1">
      <c r="I76" s="6"/>
      <c r="K76" s="276" t="s">
        <v>227</v>
      </c>
      <c r="L76" s="276">
        <f>L75</f>
        <v>178000</v>
      </c>
      <c r="M76" s="250"/>
      <c r="N76" s="250"/>
      <c r="O76" s="250"/>
    </row>
    <row r="77" ht="14.25" customHeight="1">
      <c r="K77" s="131"/>
      <c r="L77" s="194"/>
      <c r="M77" s="250"/>
      <c r="N77" s="250"/>
      <c r="O77" s="250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7"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  <mergeCell ref="O34:P34"/>
    <mergeCell ref="O35:P35"/>
    <mergeCell ref="O27:P27"/>
    <mergeCell ref="O28:P28"/>
    <mergeCell ref="O29:P29"/>
    <mergeCell ref="O30:P30"/>
    <mergeCell ref="O31:P31"/>
    <mergeCell ref="O32:P32"/>
    <mergeCell ref="O33:P33"/>
    <mergeCell ref="J38:K38"/>
    <mergeCell ref="J39:K39"/>
    <mergeCell ref="J40:K40"/>
    <mergeCell ref="J34:K34"/>
    <mergeCell ref="J35:K35"/>
    <mergeCell ref="J36:K36"/>
    <mergeCell ref="O36:P36"/>
    <mergeCell ref="J37:K37"/>
    <mergeCell ref="O37:P37"/>
    <mergeCell ref="O38:P38"/>
    <mergeCell ref="O45:P45"/>
    <mergeCell ref="O46:P46"/>
    <mergeCell ref="J42:K42"/>
    <mergeCell ref="J43:K43"/>
    <mergeCell ref="O43:P43"/>
    <mergeCell ref="J44:K44"/>
    <mergeCell ref="O44:P44"/>
    <mergeCell ref="J45:K45"/>
    <mergeCell ref="J46:K46"/>
    <mergeCell ref="O51:Q51"/>
    <mergeCell ref="O52:Q52"/>
    <mergeCell ref="O53:Q53"/>
    <mergeCell ref="O55:P55"/>
    <mergeCell ref="J47:K47"/>
    <mergeCell ref="O47:P47"/>
    <mergeCell ref="J48:K48"/>
    <mergeCell ref="O48:P48"/>
    <mergeCell ref="J49:K49"/>
    <mergeCell ref="O49:P49"/>
    <mergeCell ref="O50:Q50"/>
    <mergeCell ref="J69:K69"/>
    <mergeCell ref="J75:K75"/>
    <mergeCell ref="J50:L50"/>
    <mergeCell ref="J51:L51"/>
    <mergeCell ref="J52:L52"/>
    <mergeCell ref="J53:L53"/>
    <mergeCell ref="L55:M55"/>
    <mergeCell ref="J65:K65"/>
    <mergeCell ref="J66:L66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J10:K10"/>
    <mergeCell ref="O10:P10"/>
    <mergeCell ref="D11:D13"/>
    <mergeCell ref="J11:K11"/>
    <mergeCell ref="O11:P11"/>
    <mergeCell ref="J12:L12"/>
    <mergeCell ref="B14:C14"/>
    <mergeCell ref="O14:P14"/>
    <mergeCell ref="J13:K13"/>
    <mergeCell ref="J14:K14"/>
    <mergeCell ref="J15:K15"/>
    <mergeCell ref="J16:K16"/>
    <mergeCell ref="J17:K17"/>
    <mergeCell ref="J18:K18"/>
    <mergeCell ref="J19:K19"/>
    <mergeCell ref="J20:L20"/>
    <mergeCell ref="J21:L21"/>
    <mergeCell ref="J22:L22"/>
    <mergeCell ref="J23:L23"/>
    <mergeCell ref="J24:L24"/>
    <mergeCell ref="J25:L25"/>
    <mergeCell ref="J26:K26"/>
    <mergeCell ref="J27:K27"/>
    <mergeCell ref="J28:K28"/>
    <mergeCell ref="J29:K29"/>
    <mergeCell ref="J30:K30"/>
    <mergeCell ref="J31:K31"/>
    <mergeCell ref="J32:K32"/>
    <mergeCell ref="J33:K33"/>
    <mergeCell ref="O39:P39"/>
    <mergeCell ref="O40:P40"/>
    <mergeCell ref="B41:B42"/>
    <mergeCell ref="C41:D42"/>
    <mergeCell ref="J41:K41"/>
    <mergeCell ref="O41:P41"/>
    <mergeCell ref="O42:P42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" width="15.43"/>
    <col customWidth="1" min="4" max="4" width="19.29"/>
    <col customWidth="1" min="5" max="5" width="13.0"/>
    <col customWidth="1" min="6" max="9" width="8.71"/>
    <col customWidth="1" min="10" max="10" width="36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39" t="s">
        <v>436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140" t="s">
        <v>436</v>
      </c>
      <c r="K6" s="10"/>
      <c r="L6" s="11" t="s">
        <v>3</v>
      </c>
      <c r="M6" s="6"/>
      <c r="O6" s="211" t="s">
        <v>436</v>
      </c>
      <c r="P6" s="10"/>
      <c r="Q6" s="212" t="s">
        <v>3</v>
      </c>
      <c r="R6" s="213"/>
      <c r="S6" s="264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203" t="s">
        <v>362</v>
      </c>
      <c r="K7" s="15"/>
      <c r="L7" s="16"/>
      <c r="M7" s="6"/>
      <c r="O7" s="214" t="s">
        <v>5</v>
      </c>
      <c r="P7" s="15"/>
      <c r="Q7" s="16"/>
      <c r="R7" s="213"/>
      <c r="S7" s="264"/>
    </row>
    <row r="8" ht="14.25" customHeight="1">
      <c r="A8" s="5"/>
      <c r="B8" s="17"/>
      <c r="C8" s="17" t="s">
        <v>6</v>
      </c>
      <c r="D8" s="277">
        <v>600000.0</v>
      </c>
      <c r="E8" s="6"/>
      <c r="F8" s="6"/>
      <c r="G8" s="6"/>
      <c r="H8" s="6"/>
      <c r="I8" s="6"/>
      <c r="J8" s="143" t="s">
        <v>437</v>
      </c>
      <c r="K8" s="98"/>
      <c r="L8" s="144">
        <v>3000.0</v>
      </c>
      <c r="M8" s="6"/>
      <c r="O8" s="215" t="s">
        <v>210</v>
      </c>
      <c r="P8" s="98"/>
      <c r="Q8" s="216">
        <v>1891000.0</v>
      </c>
      <c r="R8" s="213"/>
      <c r="S8" s="264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132" t="s">
        <v>405</v>
      </c>
      <c r="L9" s="146"/>
      <c r="M9" s="6"/>
      <c r="O9" s="217"/>
      <c r="Q9" s="218"/>
      <c r="R9" s="213"/>
      <c r="S9" s="264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132"/>
      <c r="L10" s="146"/>
      <c r="M10" s="6"/>
      <c r="O10" s="217"/>
      <c r="Q10" s="218"/>
      <c r="R10" s="213"/>
      <c r="S10" s="264"/>
    </row>
    <row r="11" ht="14.25" customHeight="1">
      <c r="A11" s="5"/>
      <c r="B11" s="17"/>
      <c r="C11" s="18"/>
      <c r="D11" s="219">
        <v>0.0</v>
      </c>
      <c r="E11" s="6"/>
      <c r="F11" s="6"/>
      <c r="G11" s="6"/>
      <c r="H11" s="6"/>
      <c r="I11" s="6"/>
      <c r="J11" s="103"/>
      <c r="K11" s="104"/>
      <c r="L11" s="23"/>
      <c r="M11" s="179">
        <f>SUM(L8:L11)</f>
        <v>3000</v>
      </c>
      <c r="O11" s="220"/>
      <c r="P11" s="104"/>
      <c r="Q11" s="218"/>
      <c r="R11" s="221">
        <f>SUM(Q8:Q11)</f>
        <v>1891000</v>
      </c>
      <c r="S11" s="264"/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04" t="s">
        <v>364</v>
      </c>
      <c r="K12" s="29"/>
      <c r="L12" s="30"/>
      <c r="M12" s="6"/>
      <c r="O12" s="222" t="s">
        <v>10</v>
      </c>
      <c r="P12" s="29"/>
      <c r="Q12" s="30"/>
      <c r="R12" s="213"/>
      <c r="S12" s="264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43"/>
      <c r="K13" s="98"/>
      <c r="L13" s="144"/>
      <c r="M13" s="6"/>
      <c r="O13" s="215"/>
      <c r="P13" s="98"/>
      <c r="Q13" s="223"/>
      <c r="R13" s="213"/>
      <c r="S13" s="264"/>
    </row>
    <row r="14" ht="14.25" customHeight="1">
      <c r="A14" s="5"/>
      <c r="B14" s="278" t="s">
        <v>438</v>
      </c>
      <c r="C14" s="33"/>
      <c r="D14" s="279">
        <f>SUM(D10:D13)</f>
        <v>100000</v>
      </c>
      <c r="E14" s="6"/>
      <c r="F14" s="6"/>
      <c r="G14" s="6"/>
      <c r="H14" s="6"/>
      <c r="I14" s="6"/>
      <c r="J14" s="132" t="s">
        <v>211</v>
      </c>
      <c r="L14" s="146">
        <v>9000.0</v>
      </c>
      <c r="M14" s="6"/>
      <c r="O14" s="224" t="s">
        <v>439</v>
      </c>
      <c r="Q14" s="280">
        <v>600000.0</v>
      </c>
      <c r="R14" s="213"/>
      <c r="S14" s="264"/>
    </row>
    <row r="15" ht="14.25" customHeight="1">
      <c r="A15" s="5"/>
      <c r="B15" s="278" t="s">
        <v>440</v>
      </c>
      <c r="C15" s="33"/>
      <c r="D15" s="281">
        <f>D8</f>
        <v>600000</v>
      </c>
      <c r="E15" s="6"/>
      <c r="F15" s="6"/>
      <c r="G15" s="6"/>
      <c r="H15" s="6"/>
      <c r="I15" s="6"/>
      <c r="J15" s="132"/>
      <c r="L15" s="23"/>
      <c r="M15" s="6"/>
      <c r="O15" s="217"/>
      <c r="Q15" s="218"/>
      <c r="R15" s="213"/>
      <c r="S15" s="264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L16" s="23"/>
      <c r="M16" s="6"/>
      <c r="O16" s="217"/>
      <c r="Q16" s="218"/>
      <c r="R16" s="213"/>
      <c r="S16" s="264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22"/>
      <c r="L17" s="23"/>
      <c r="M17" s="6"/>
      <c r="O17" s="217"/>
      <c r="Q17" s="218"/>
      <c r="R17" s="213"/>
      <c r="S17" s="264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217"/>
      <c r="Q18" s="218"/>
      <c r="R18" s="213"/>
      <c r="S18" s="264"/>
    </row>
    <row r="19" ht="14.25" customHeight="1">
      <c r="A19" s="5"/>
      <c r="B19" s="260"/>
      <c r="C19" s="6"/>
      <c r="D19" s="6"/>
      <c r="E19" s="6"/>
      <c r="F19" s="6"/>
      <c r="G19" s="6"/>
      <c r="H19" s="6"/>
      <c r="I19" s="6"/>
      <c r="J19" s="22"/>
      <c r="L19" s="23"/>
      <c r="M19" s="179">
        <f>SUM(L13:L19)</f>
        <v>9000</v>
      </c>
      <c r="O19" s="217"/>
      <c r="Q19" s="218"/>
      <c r="R19" s="221">
        <f>SUM(Q13:Q18)</f>
        <v>600000</v>
      </c>
      <c r="S19" s="264"/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225"/>
      <c r="P20" s="76"/>
      <c r="Q20" s="77"/>
      <c r="R20" s="226"/>
      <c r="S20" s="264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227"/>
      <c r="P21" s="37"/>
      <c r="Q21" s="38"/>
      <c r="R21" s="226"/>
      <c r="S21" s="264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228"/>
      <c r="P22" s="37"/>
      <c r="Q22" s="38"/>
      <c r="R22" s="229"/>
      <c r="S22" s="264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147" t="s">
        <v>12</v>
      </c>
      <c r="K23" s="86"/>
      <c r="L23" s="55"/>
      <c r="M23" s="148">
        <f>M11+M19</f>
        <v>12000</v>
      </c>
      <c r="N23" s="78"/>
      <c r="O23" s="230" t="s">
        <v>12</v>
      </c>
      <c r="P23" s="37"/>
      <c r="Q23" s="38"/>
      <c r="R23" s="231">
        <f>R11+R19</f>
        <v>2491000</v>
      </c>
      <c r="S23" s="264"/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49" t="s">
        <v>172</v>
      </c>
      <c r="K24" s="37"/>
      <c r="L24" s="38"/>
      <c r="M24" s="150"/>
      <c r="O24" s="224"/>
      <c r="Q24" s="232"/>
      <c r="R24" s="213"/>
      <c r="S24" s="264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51" t="s">
        <v>173</v>
      </c>
      <c r="K25" s="37"/>
      <c r="L25" s="38"/>
      <c r="M25" s="152"/>
      <c r="O25" s="224"/>
      <c r="Q25" s="265"/>
      <c r="R25" s="213"/>
      <c r="S25" s="264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5" t="s">
        <v>441</v>
      </c>
      <c r="L26" s="136">
        <v>3000.0</v>
      </c>
      <c r="M26" s="6"/>
      <c r="O26" s="217"/>
      <c r="Q26" s="233"/>
      <c r="R26" s="213"/>
      <c r="S26" s="264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135" t="s">
        <v>442</v>
      </c>
      <c r="L27" s="134">
        <v>2700.0</v>
      </c>
      <c r="M27" s="6"/>
      <c r="O27" s="217"/>
      <c r="Q27" s="233"/>
      <c r="R27" s="213"/>
      <c r="S27" s="264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135" t="s">
        <v>443</v>
      </c>
      <c r="L28" s="134">
        <v>2500.0</v>
      </c>
      <c r="M28" s="6"/>
      <c r="O28" s="234"/>
      <c r="P28" s="46"/>
      <c r="Q28" s="233"/>
      <c r="R28" s="213"/>
      <c r="S28" s="264"/>
    </row>
    <row r="29" ht="14.25" customHeight="1">
      <c r="A29" s="6"/>
      <c r="B29" s="153" t="s">
        <v>436</v>
      </c>
      <c r="C29" s="8"/>
      <c r="D29" s="6"/>
      <c r="E29" s="6"/>
      <c r="F29" s="6"/>
      <c r="G29" s="6"/>
      <c r="H29" s="6"/>
      <c r="I29" s="6"/>
      <c r="J29" s="135" t="s">
        <v>444</v>
      </c>
      <c r="L29" s="134">
        <v>800.0</v>
      </c>
      <c r="M29" s="6"/>
      <c r="O29" s="234"/>
      <c r="P29" s="46"/>
      <c r="Q29" s="233"/>
      <c r="R29" s="213"/>
      <c r="S29" s="264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135" t="s">
        <v>445</v>
      </c>
      <c r="K30" s="46"/>
      <c r="L30" s="134">
        <v>2500.0</v>
      </c>
      <c r="M30" s="6"/>
      <c r="O30" s="234"/>
      <c r="P30" s="46"/>
      <c r="Q30" s="233"/>
      <c r="R30" s="213"/>
      <c r="S30" s="264"/>
    </row>
    <row r="31" ht="14.25" customHeight="1">
      <c r="A31" s="5"/>
      <c r="B31" s="25"/>
      <c r="C31" s="27" t="s">
        <v>3</v>
      </c>
      <c r="D31" s="154" t="s">
        <v>446</v>
      </c>
      <c r="E31" s="6"/>
      <c r="F31" s="6"/>
      <c r="G31" s="6"/>
      <c r="H31" s="6"/>
      <c r="I31" s="6"/>
      <c r="J31" s="135"/>
      <c r="K31" s="46"/>
      <c r="L31" s="134"/>
      <c r="M31" s="6"/>
      <c r="O31" s="234"/>
      <c r="P31" s="46"/>
      <c r="Q31" s="233"/>
      <c r="R31" s="213"/>
      <c r="S31" s="264"/>
    </row>
    <row r="32" ht="14.25" customHeight="1">
      <c r="A32" s="5"/>
      <c r="B32" s="24" t="s">
        <v>24</v>
      </c>
      <c r="C32" s="44">
        <v>41000.0</v>
      </c>
      <c r="D32" s="180" t="s">
        <v>25</v>
      </c>
      <c r="E32" s="6"/>
      <c r="F32" s="6"/>
      <c r="G32" s="6"/>
      <c r="H32" s="6"/>
      <c r="I32" s="6"/>
      <c r="J32" s="132"/>
      <c r="L32" s="134"/>
      <c r="M32" s="6"/>
      <c r="O32" s="217"/>
      <c r="Q32" s="233"/>
      <c r="R32" s="213"/>
      <c r="S32" s="264"/>
    </row>
    <row r="33" ht="14.25" customHeight="1">
      <c r="A33" s="6"/>
      <c r="B33" s="44" t="s">
        <v>26</v>
      </c>
      <c r="C33" s="44">
        <v>4000.0</v>
      </c>
      <c r="D33" s="180" t="s">
        <v>25</v>
      </c>
      <c r="E33" s="6"/>
      <c r="F33" s="6"/>
      <c r="G33" s="6"/>
      <c r="H33" s="6"/>
      <c r="I33" s="6"/>
      <c r="J33" s="22"/>
      <c r="L33" s="41"/>
      <c r="M33" s="6"/>
      <c r="O33" s="217"/>
      <c r="Q33" s="233"/>
      <c r="R33" s="213"/>
      <c r="S33" s="264"/>
    </row>
    <row r="34" ht="14.25" customHeight="1">
      <c r="A34" s="5"/>
      <c r="B34" s="44" t="s">
        <v>27</v>
      </c>
      <c r="C34" s="44">
        <v>1000.0</v>
      </c>
      <c r="D34" s="180" t="s">
        <v>25</v>
      </c>
      <c r="E34" s="6"/>
      <c r="F34" s="6"/>
      <c r="G34" s="6"/>
      <c r="H34" s="6"/>
      <c r="I34" s="6"/>
      <c r="J34" s="22"/>
      <c r="L34" s="41"/>
      <c r="M34" s="6"/>
      <c r="O34" s="217"/>
      <c r="Q34" s="233"/>
      <c r="R34" s="213"/>
      <c r="S34" s="264"/>
    </row>
    <row r="35" ht="14.25" customHeight="1">
      <c r="A35" s="5"/>
      <c r="B35" s="44" t="s">
        <v>29</v>
      </c>
      <c r="C35" s="157">
        <v>14000.0</v>
      </c>
      <c r="D35" s="155" t="s">
        <v>101</v>
      </c>
      <c r="E35" s="131">
        <v>9000.0</v>
      </c>
      <c r="F35" s="131" t="s">
        <v>447</v>
      </c>
      <c r="G35" s="6"/>
      <c r="H35" s="6"/>
      <c r="I35" s="6"/>
      <c r="J35" s="22"/>
      <c r="L35" s="41"/>
      <c r="M35" s="6"/>
      <c r="O35" s="217"/>
      <c r="Q35" s="233"/>
      <c r="R35" s="213"/>
      <c r="S35" s="264"/>
    </row>
    <row r="36" ht="14.25" customHeight="1">
      <c r="A36" s="5"/>
      <c r="B36" s="44" t="s">
        <v>31</v>
      </c>
      <c r="C36" s="44">
        <v>5000.0</v>
      </c>
      <c r="D36" s="155" t="s">
        <v>25</v>
      </c>
      <c r="E36" s="131">
        <v>5000.0</v>
      </c>
      <c r="F36" s="131" t="s">
        <v>448</v>
      </c>
      <c r="G36" s="6"/>
      <c r="H36" s="6"/>
      <c r="I36" s="6"/>
      <c r="J36" s="22"/>
      <c r="L36" s="41"/>
      <c r="M36" s="6"/>
      <c r="O36" s="217"/>
      <c r="Q36" s="233"/>
      <c r="R36" s="213"/>
      <c r="S36" s="264"/>
    </row>
    <row r="37" ht="14.25" customHeight="1">
      <c r="A37" s="5"/>
      <c r="B37" s="157" t="s">
        <v>449</v>
      </c>
      <c r="C37" s="157">
        <v>5000.0</v>
      </c>
      <c r="D37" s="155" t="s">
        <v>101</v>
      </c>
      <c r="E37" s="6"/>
      <c r="F37" s="6"/>
      <c r="G37" s="6"/>
      <c r="H37" s="6"/>
      <c r="I37" s="6"/>
      <c r="J37" s="22"/>
      <c r="K37" s="6"/>
      <c r="L37" s="47"/>
      <c r="M37" s="6"/>
      <c r="O37" s="217"/>
      <c r="P37" s="213"/>
      <c r="Q37" s="235"/>
      <c r="R37" s="213"/>
      <c r="S37" s="264"/>
    </row>
    <row r="38" ht="14.25" customHeight="1">
      <c r="A38" s="5"/>
      <c r="B38" s="44" t="s">
        <v>33</v>
      </c>
      <c r="C38" s="157">
        <v>10000.0</v>
      </c>
      <c r="D38" s="155" t="s">
        <v>25</v>
      </c>
      <c r="E38" s="6"/>
      <c r="F38" s="6"/>
      <c r="G38" s="6"/>
      <c r="H38" s="6"/>
      <c r="I38" s="6"/>
      <c r="J38" s="22"/>
      <c r="K38" s="46"/>
      <c r="L38" s="47"/>
      <c r="M38" s="6"/>
      <c r="O38" s="217"/>
      <c r="P38" s="46"/>
      <c r="Q38" s="235"/>
      <c r="R38" s="213"/>
      <c r="S38" s="264"/>
    </row>
    <row r="39" ht="14.25" customHeight="1">
      <c r="A39" s="5"/>
      <c r="B39" s="157" t="s">
        <v>181</v>
      </c>
      <c r="C39" s="157">
        <v>10000.0</v>
      </c>
      <c r="D39" s="155" t="s">
        <v>25</v>
      </c>
      <c r="E39" s="6"/>
      <c r="F39" s="6"/>
      <c r="G39" s="6"/>
      <c r="H39" s="6"/>
      <c r="I39" s="6"/>
      <c r="J39" s="158" t="s">
        <v>219</v>
      </c>
      <c r="K39" s="38"/>
      <c r="L39" s="49">
        <f>SUM(L24:L36)</f>
        <v>11500</v>
      </c>
      <c r="M39" s="6"/>
      <c r="O39" s="236" t="s">
        <v>219</v>
      </c>
      <c r="P39" s="38"/>
      <c r="Q39" s="237">
        <f>SUM(Q24:Q36)</f>
        <v>0</v>
      </c>
      <c r="R39" s="213"/>
      <c r="S39" s="264"/>
    </row>
    <row r="40" ht="14.25" customHeight="1">
      <c r="A40" s="5"/>
      <c r="B40" s="157" t="s">
        <v>183</v>
      </c>
      <c r="C40" s="157">
        <v>10000.0</v>
      </c>
      <c r="D40" s="155" t="s">
        <v>101</v>
      </c>
      <c r="E40" s="6"/>
      <c r="F40" s="6"/>
      <c r="G40" s="6"/>
      <c r="H40" s="6"/>
      <c r="I40" s="6"/>
      <c r="J40" s="135"/>
      <c r="L40" s="136"/>
      <c r="M40" s="6"/>
      <c r="O40" s="238" t="s">
        <v>450</v>
      </c>
      <c r="Q40" s="239">
        <v>25000.0</v>
      </c>
      <c r="R40" s="213"/>
      <c r="S40" s="264"/>
    </row>
    <row r="41" ht="14.25" customHeight="1">
      <c r="A41" s="5"/>
      <c r="B41" s="53" t="s">
        <v>11</v>
      </c>
      <c r="C41" s="160">
        <f>SUM(C32:C40)</f>
        <v>100000</v>
      </c>
      <c r="D41" s="55"/>
      <c r="E41" s="6"/>
      <c r="F41" s="6"/>
      <c r="G41" s="6"/>
      <c r="H41" s="6"/>
      <c r="I41" s="6"/>
      <c r="J41" s="135"/>
      <c r="L41" s="134"/>
      <c r="M41" s="6"/>
      <c r="O41" s="234"/>
      <c r="Q41" s="233"/>
      <c r="R41" s="213"/>
      <c r="S41" s="264"/>
    </row>
    <row r="42" ht="14.25" customHeight="1">
      <c r="A42" s="5"/>
      <c r="B42" s="56"/>
      <c r="C42" s="57"/>
      <c r="D42" s="58"/>
      <c r="E42" s="6"/>
      <c r="F42" s="6"/>
      <c r="G42" s="6"/>
      <c r="H42" s="6"/>
      <c r="I42" s="6"/>
      <c r="J42" s="135"/>
      <c r="L42" s="134"/>
      <c r="M42" s="6"/>
      <c r="O42" s="234"/>
      <c r="Q42" s="233"/>
      <c r="R42" s="213"/>
      <c r="S42" s="264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50"/>
      <c r="L43" s="41"/>
      <c r="M43" s="6"/>
      <c r="N43" s="6"/>
      <c r="O43" s="234"/>
      <c r="Q43" s="233"/>
      <c r="R43" s="217"/>
      <c r="S43" s="264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50"/>
      <c r="L44" s="80"/>
      <c r="M44" s="6"/>
      <c r="N44" s="6"/>
      <c r="O44" s="234"/>
      <c r="Q44" s="240"/>
      <c r="R44" s="217"/>
      <c r="S44" s="264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6"/>
      <c r="O45" s="234"/>
      <c r="Q45" s="233"/>
      <c r="R45" s="217"/>
      <c r="S45" s="264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81"/>
      <c r="K46" s="46"/>
      <c r="L46" s="19"/>
      <c r="M46" s="6"/>
      <c r="O46" s="241"/>
      <c r="P46" s="46"/>
      <c r="Q46" s="242"/>
      <c r="R46" s="217"/>
      <c r="S46" s="264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81"/>
      <c r="K47" s="46"/>
      <c r="L47" s="19"/>
      <c r="M47" s="6"/>
      <c r="O47" s="241"/>
      <c r="P47" s="46"/>
      <c r="Q47" s="242"/>
      <c r="R47" s="217"/>
      <c r="S47" s="264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50"/>
      <c r="L48" s="47"/>
      <c r="M48" s="6"/>
      <c r="O48" s="234"/>
      <c r="Q48" s="235"/>
      <c r="R48" s="213"/>
      <c r="S48" s="264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161" t="s">
        <v>221</v>
      </c>
      <c r="K49" s="60"/>
      <c r="L49" s="82">
        <f>SUM(L40:L48)</f>
        <v>0</v>
      </c>
      <c r="M49" s="6"/>
      <c r="O49" s="243" t="s">
        <v>221</v>
      </c>
      <c r="P49" s="60"/>
      <c r="Q49" s="244">
        <f>SUM(Q40:Q48)</f>
        <v>25000</v>
      </c>
      <c r="R49" s="213"/>
      <c r="S49" s="264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163" t="s">
        <v>222</v>
      </c>
      <c r="K50" s="37"/>
      <c r="L50" s="38"/>
      <c r="M50" s="83">
        <f>L39+L49</f>
        <v>11500</v>
      </c>
      <c r="O50" s="245" t="s">
        <v>222</v>
      </c>
      <c r="P50" s="37"/>
      <c r="Q50" s="38"/>
      <c r="R50" s="229">
        <f>Q39+Q49</f>
        <v>25000</v>
      </c>
      <c r="S50" s="264"/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165" t="s">
        <v>223</v>
      </c>
      <c r="K51" s="37"/>
      <c r="L51" s="38"/>
      <c r="M51" s="166">
        <f>M23-M50</f>
        <v>500</v>
      </c>
      <c r="O51" s="282" t="s">
        <v>223</v>
      </c>
      <c r="P51" s="37"/>
      <c r="Q51" s="38"/>
      <c r="R51" s="283">
        <f>R11-R50</f>
        <v>1866000</v>
      </c>
      <c r="S51" s="264"/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167" t="s">
        <v>224</v>
      </c>
      <c r="K52" s="37"/>
      <c r="L52" s="84"/>
      <c r="M52" s="168"/>
      <c r="N52" s="78"/>
      <c r="O52" s="284" t="s">
        <v>451</v>
      </c>
      <c r="P52" s="37"/>
      <c r="Q52" s="84"/>
      <c r="R52" s="249">
        <f>R19</f>
        <v>600000</v>
      </c>
      <c r="S52" s="264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266" t="s">
        <v>225</v>
      </c>
      <c r="K53" s="86"/>
      <c r="L53" s="267"/>
      <c r="M53" s="268"/>
      <c r="N53" s="78"/>
      <c r="O53" s="285" t="s">
        <v>452</v>
      </c>
      <c r="P53" s="37"/>
      <c r="Q53" s="84"/>
      <c r="R53" s="286">
        <f>R51+R52</f>
        <v>2466000</v>
      </c>
      <c r="S53" s="264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131"/>
      <c r="K54" s="131"/>
      <c r="L54" s="6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131"/>
      <c r="I55" s="6"/>
      <c r="J55" s="272" t="s">
        <v>247</v>
      </c>
      <c r="K55" s="273">
        <v>680800.0</v>
      </c>
      <c r="L55" s="251" t="s">
        <v>416</v>
      </c>
      <c r="O55" s="269" t="s">
        <v>417</v>
      </c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272" t="s">
        <v>248</v>
      </c>
      <c r="K56" s="273">
        <v>152000.0</v>
      </c>
      <c r="L56" s="253">
        <v>46064.0</v>
      </c>
      <c r="M56" s="131">
        <v>145000.0</v>
      </c>
      <c r="O56" s="254">
        <v>1000000.0</v>
      </c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255" t="s">
        <v>403</v>
      </c>
      <c r="K57" s="256">
        <f>K55+K56</f>
        <v>832800</v>
      </c>
      <c r="L57" s="253">
        <v>46079.0</v>
      </c>
      <c r="M57" s="131">
        <v>145000.0</v>
      </c>
      <c r="O57" s="254">
        <v>1000000.0</v>
      </c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131"/>
      <c r="K58" s="131"/>
      <c r="L58" s="257" t="s">
        <v>402</v>
      </c>
      <c r="M58" s="258">
        <f>SUM(M56:M57)</f>
        <v>290000</v>
      </c>
      <c r="N58" s="250"/>
      <c r="O58" s="259">
        <f>SUM(O56:O57)</f>
        <v>2000000</v>
      </c>
    </row>
    <row r="59" ht="14.25" customHeight="1">
      <c r="A59" s="5"/>
      <c r="B59" s="6"/>
      <c r="C59" s="6"/>
      <c r="D59" s="6"/>
      <c r="E59" s="6"/>
      <c r="F59" s="6"/>
      <c r="G59" s="6"/>
      <c r="H59" s="6"/>
      <c r="I59" s="6"/>
      <c r="J59" s="131"/>
      <c r="K59" s="131"/>
      <c r="L59" s="6"/>
      <c r="M59" s="250"/>
      <c r="N59" s="250"/>
      <c r="O59" s="260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6"/>
      <c r="J60" s="196"/>
      <c r="K60" s="250"/>
      <c r="L60" s="6"/>
      <c r="M60" s="250"/>
      <c r="N60" s="250"/>
      <c r="O60" s="260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6"/>
      <c r="J61" s="250"/>
      <c r="K61" s="250"/>
      <c r="L61" s="6"/>
      <c r="M61" s="250"/>
      <c r="N61" s="250"/>
      <c r="O61" s="260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6"/>
      <c r="J62" s="196"/>
      <c r="K62" s="274"/>
      <c r="L62" s="6"/>
      <c r="M62" s="250"/>
      <c r="N62" s="250"/>
      <c r="O62" s="19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6"/>
      <c r="J63" s="196"/>
      <c r="K63" s="274"/>
      <c r="L63" s="6"/>
      <c r="M63" s="250"/>
      <c r="N63" s="250"/>
      <c r="O63" s="250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6"/>
      <c r="J64" s="250"/>
      <c r="K64" s="250"/>
      <c r="L64" s="6"/>
      <c r="M64" s="250"/>
      <c r="N64" s="250"/>
      <c r="O64" s="250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6"/>
      <c r="J65" s="171" t="s">
        <v>453</v>
      </c>
      <c r="K65" s="70"/>
      <c r="L65" s="44" t="s">
        <v>3</v>
      </c>
      <c r="M65" s="250"/>
      <c r="N65" s="250"/>
      <c r="O65" s="250"/>
    </row>
    <row r="66" ht="14.25" customHeight="1">
      <c r="I66" s="6"/>
      <c r="J66" s="71" t="s">
        <v>42</v>
      </c>
      <c r="K66" s="29"/>
      <c r="L66" s="72"/>
      <c r="M66" s="263"/>
      <c r="N66" s="250"/>
      <c r="O66" s="250"/>
    </row>
    <row r="67" ht="14.25" customHeight="1">
      <c r="I67" s="6"/>
      <c r="J67" s="17"/>
      <c r="K67" s="4"/>
      <c r="L67" s="191">
        <v>169000.0</v>
      </c>
      <c r="M67" s="263"/>
      <c r="N67" s="250"/>
      <c r="O67" s="250"/>
    </row>
    <row r="68" ht="14.25" customHeight="1">
      <c r="I68" s="6"/>
      <c r="J68" s="5"/>
      <c r="K68" s="6"/>
      <c r="L68" s="172">
        <v>10000.0</v>
      </c>
      <c r="M68" s="250"/>
      <c r="N68" s="250"/>
      <c r="O68" s="250"/>
    </row>
    <row r="69" ht="14.25" customHeight="1">
      <c r="I69" s="6"/>
      <c r="J69" s="275" t="s">
        <v>435</v>
      </c>
      <c r="L69" s="172">
        <v>4000.0</v>
      </c>
      <c r="M69" s="250"/>
      <c r="N69" s="250"/>
      <c r="O69" s="250"/>
    </row>
    <row r="70" ht="14.25" customHeight="1">
      <c r="I70" s="6"/>
      <c r="J70" s="5"/>
      <c r="K70" s="6"/>
      <c r="L70" s="172"/>
      <c r="M70" s="250"/>
      <c r="N70" s="250"/>
      <c r="O70" s="250"/>
    </row>
    <row r="71" ht="14.25" customHeight="1">
      <c r="I71" s="6"/>
      <c r="J71" s="5"/>
      <c r="K71" s="6"/>
      <c r="L71" s="172"/>
      <c r="M71" s="250"/>
      <c r="N71" s="250"/>
      <c r="O71" s="250"/>
    </row>
    <row r="72" ht="14.25" customHeight="1">
      <c r="I72" s="6"/>
      <c r="J72" s="5"/>
      <c r="K72" s="6"/>
      <c r="L72" s="183"/>
      <c r="M72" s="250"/>
      <c r="N72" s="250"/>
      <c r="O72" s="250"/>
    </row>
    <row r="73" ht="14.25" customHeight="1">
      <c r="I73" s="6"/>
      <c r="J73" s="5"/>
      <c r="K73" s="6"/>
      <c r="L73" s="183"/>
      <c r="M73" s="250"/>
      <c r="N73" s="250"/>
      <c r="O73" s="250"/>
    </row>
    <row r="74" ht="14.25" customHeight="1">
      <c r="I74" s="6"/>
      <c r="J74" s="5"/>
      <c r="K74" s="6"/>
      <c r="L74" s="172"/>
      <c r="M74" s="250"/>
      <c r="N74" s="250"/>
      <c r="O74" s="250"/>
    </row>
    <row r="75" ht="14.25" customHeight="1">
      <c r="I75" s="6"/>
      <c r="J75" s="73" t="s">
        <v>43</v>
      </c>
      <c r="K75" s="38"/>
      <c r="L75" s="68">
        <f>SUM(L67:L74)</f>
        <v>183000</v>
      </c>
      <c r="M75" s="250"/>
      <c r="N75" s="250"/>
      <c r="O75" s="250"/>
    </row>
    <row r="76" ht="14.25" customHeight="1">
      <c r="I76" s="6"/>
      <c r="K76" s="276" t="s">
        <v>227</v>
      </c>
      <c r="L76" s="276">
        <f>L75</f>
        <v>183000</v>
      </c>
      <c r="M76" s="250"/>
      <c r="N76" s="250"/>
      <c r="O76" s="250"/>
    </row>
    <row r="77" ht="14.25" customHeight="1">
      <c r="K77" s="131"/>
      <c r="L77" s="194"/>
      <c r="M77" s="250"/>
      <c r="N77" s="250"/>
      <c r="O77" s="250"/>
    </row>
    <row r="78" ht="14.25" customHeight="1"/>
    <row r="79" ht="14.25" customHeight="1">
      <c r="J79" s="171" t="s">
        <v>453</v>
      </c>
      <c r="K79" s="70"/>
      <c r="L79" s="44" t="s">
        <v>3</v>
      </c>
    </row>
    <row r="80" ht="14.25" customHeight="1">
      <c r="J80" s="287" t="s">
        <v>454</v>
      </c>
      <c r="K80" s="29"/>
      <c r="L80" s="72"/>
    </row>
    <row r="81" ht="14.25" customHeight="1">
      <c r="J81" s="17"/>
      <c r="K81" s="288" t="s">
        <v>455</v>
      </c>
      <c r="L81" s="191">
        <v>35000.0</v>
      </c>
      <c r="M81" s="200" t="s">
        <v>456</v>
      </c>
    </row>
    <row r="82" ht="14.25" customHeight="1">
      <c r="J82" s="5"/>
      <c r="K82" s="131" t="s">
        <v>457</v>
      </c>
      <c r="L82" s="172">
        <v>20000.0</v>
      </c>
    </row>
    <row r="83" ht="14.25" customHeight="1">
      <c r="J83" s="275"/>
      <c r="K83" s="131"/>
      <c r="L83" s="172"/>
    </row>
    <row r="84" ht="14.25" customHeight="1">
      <c r="J84" s="5"/>
      <c r="K84" s="6"/>
      <c r="L84" s="172"/>
    </row>
    <row r="85" ht="14.25" customHeight="1">
      <c r="J85" s="5"/>
      <c r="K85" s="6"/>
      <c r="L85" s="172"/>
    </row>
    <row r="86" ht="14.25" customHeight="1">
      <c r="J86" s="5"/>
      <c r="K86" s="6"/>
      <c r="L86" s="183"/>
    </row>
    <row r="87" ht="14.25" customHeight="1">
      <c r="J87" s="5"/>
      <c r="K87" s="6"/>
      <c r="L87" s="183"/>
    </row>
    <row r="88" ht="14.25" customHeight="1">
      <c r="J88" s="5"/>
      <c r="K88" s="6"/>
      <c r="L88" s="172"/>
    </row>
    <row r="89" ht="14.25" customHeight="1">
      <c r="J89" s="289" t="s">
        <v>458</v>
      </c>
      <c r="K89" s="38"/>
      <c r="L89" s="68">
        <f>SUM(L81:L88)</f>
        <v>55000</v>
      </c>
    </row>
    <row r="90" ht="14.25" customHeight="1">
      <c r="K90" s="276"/>
      <c r="L90" s="276">
        <f>L89</f>
        <v>55000</v>
      </c>
    </row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9">
    <mergeCell ref="J20:L20"/>
    <mergeCell ref="J21:L21"/>
    <mergeCell ref="J22:L22"/>
    <mergeCell ref="J23:L23"/>
    <mergeCell ref="J24:L24"/>
    <mergeCell ref="J25:L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8:K38"/>
    <mergeCell ref="J39:K39"/>
    <mergeCell ref="B41:B42"/>
    <mergeCell ref="C41:D42"/>
    <mergeCell ref="J42:K42"/>
    <mergeCell ref="J48:K48"/>
    <mergeCell ref="J49:K49"/>
    <mergeCell ref="J50:L50"/>
    <mergeCell ref="J51:L51"/>
    <mergeCell ref="J52:L52"/>
    <mergeCell ref="J53:L53"/>
    <mergeCell ref="L55:M55"/>
    <mergeCell ref="J65:K65"/>
    <mergeCell ref="J66:L66"/>
    <mergeCell ref="J69:K69"/>
    <mergeCell ref="J75:K75"/>
    <mergeCell ref="J79:K79"/>
    <mergeCell ref="J80:L80"/>
    <mergeCell ref="J89:K89"/>
    <mergeCell ref="J40:K40"/>
    <mergeCell ref="J41:K41"/>
    <mergeCell ref="J43:K43"/>
    <mergeCell ref="J44:K44"/>
    <mergeCell ref="J45:K45"/>
    <mergeCell ref="J46:K46"/>
    <mergeCell ref="J47:K47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8:P38"/>
    <mergeCell ref="O39:P39"/>
    <mergeCell ref="O40:P40"/>
    <mergeCell ref="O41:P41"/>
    <mergeCell ref="O49:P49"/>
    <mergeCell ref="O50:Q50"/>
    <mergeCell ref="O51:Q51"/>
    <mergeCell ref="O52:Q52"/>
    <mergeCell ref="O53:Q53"/>
    <mergeCell ref="O55:P55"/>
    <mergeCell ref="O42:P42"/>
    <mergeCell ref="O43:P43"/>
    <mergeCell ref="O44:P44"/>
    <mergeCell ref="O45:P45"/>
    <mergeCell ref="O46:P46"/>
    <mergeCell ref="O47:P47"/>
    <mergeCell ref="O48:P48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B14:C14"/>
    <mergeCell ref="B15:C15"/>
    <mergeCell ref="J10:K10"/>
    <mergeCell ref="O10:P10"/>
    <mergeCell ref="D11:D13"/>
    <mergeCell ref="J11:K11"/>
    <mergeCell ref="O11:P11"/>
    <mergeCell ref="J12:L12"/>
    <mergeCell ref="O14:P14"/>
    <mergeCell ref="J13:K13"/>
    <mergeCell ref="J14:K14"/>
    <mergeCell ref="J15:K15"/>
    <mergeCell ref="J16:K16"/>
    <mergeCell ref="J17:K17"/>
    <mergeCell ref="J18:K18"/>
    <mergeCell ref="J19:K19"/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43"/>
    <col customWidth="1" min="3" max="3" width="15.43"/>
    <col customWidth="1" min="4" max="4" width="19.29"/>
    <col customWidth="1" min="5" max="5" width="13.0"/>
    <col customWidth="1" min="6" max="9" width="8.71"/>
    <col customWidth="1" min="10" max="10" width="36.0"/>
    <col customWidth="1" min="11" max="11" width="24.29"/>
    <col customWidth="1" min="12" max="12" width="31.43"/>
    <col customWidth="1" min="13" max="13" width="20.29"/>
    <col customWidth="1" min="14" max="14" width="19.0"/>
    <col customWidth="1" min="15" max="15" width="37.29"/>
    <col customWidth="1" min="16" max="16" width="8.71"/>
    <col customWidth="1" min="17" max="17" width="30.71"/>
    <col customWidth="1" min="18" max="18" width="23.86"/>
    <col customWidth="1" min="19" max="26" width="8.71"/>
  </cols>
  <sheetData>
    <row r="1" ht="14.25" customHeight="1">
      <c r="A1" s="139" t="s">
        <v>255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ht="14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14.25" customHeight="1">
      <c r="A4" s="5"/>
      <c r="B4" s="7" t="s">
        <v>1</v>
      </c>
      <c r="C4" s="8"/>
      <c r="D4" s="6"/>
      <c r="E4" s="6"/>
      <c r="F4" s="6"/>
      <c r="G4" s="6"/>
      <c r="H4" s="6"/>
      <c r="I4" s="6"/>
      <c r="J4" s="7" t="s">
        <v>121</v>
      </c>
      <c r="K4" s="6"/>
      <c r="L4" s="6"/>
      <c r="M4" s="6"/>
      <c r="O4" s="129" t="s">
        <v>122</v>
      </c>
      <c r="P4" s="96"/>
      <c r="Q4" s="96"/>
      <c r="R4" s="96"/>
    </row>
    <row r="5" ht="14.2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96"/>
      <c r="P5" s="96"/>
      <c r="Q5" s="96"/>
      <c r="R5" s="96"/>
    </row>
    <row r="6" ht="14.25" customHeight="1">
      <c r="A6" s="5"/>
      <c r="B6" s="6"/>
      <c r="C6" s="6"/>
      <c r="D6" s="6"/>
      <c r="E6" s="6"/>
      <c r="F6" s="6"/>
      <c r="G6" s="6"/>
      <c r="H6" s="6"/>
      <c r="I6" s="6"/>
      <c r="J6" s="140" t="s">
        <v>255</v>
      </c>
      <c r="K6" s="10"/>
      <c r="L6" s="11" t="s">
        <v>3</v>
      </c>
      <c r="M6" s="6"/>
      <c r="O6" s="290" t="s">
        <v>255</v>
      </c>
      <c r="P6" s="10"/>
      <c r="Q6" s="291" t="s">
        <v>3</v>
      </c>
      <c r="R6" s="292"/>
      <c r="S6" s="264"/>
    </row>
    <row r="7" ht="14.25" customHeight="1">
      <c r="A7" s="5"/>
      <c r="B7" s="6"/>
      <c r="C7" s="12"/>
      <c r="D7" s="13" t="s">
        <v>4</v>
      </c>
      <c r="E7" s="6"/>
      <c r="F7" s="6"/>
      <c r="G7" s="6"/>
      <c r="H7" s="6"/>
      <c r="I7" s="6"/>
      <c r="J7" s="203" t="s">
        <v>362</v>
      </c>
      <c r="K7" s="15"/>
      <c r="L7" s="16"/>
      <c r="M7" s="6"/>
      <c r="O7" s="293" t="s">
        <v>5</v>
      </c>
      <c r="P7" s="15"/>
      <c r="Q7" s="16"/>
      <c r="R7" s="292"/>
      <c r="S7" s="264"/>
    </row>
    <row r="8" ht="14.25" customHeight="1">
      <c r="A8" s="5"/>
      <c r="B8" s="17"/>
      <c r="C8" s="17" t="s">
        <v>6</v>
      </c>
      <c r="D8" s="277">
        <v>600000.0</v>
      </c>
      <c r="E8" s="6"/>
      <c r="F8" s="6"/>
      <c r="G8" s="6"/>
      <c r="H8" s="6"/>
      <c r="I8" s="6"/>
      <c r="J8" s="143" t="s">
        <v>256</v>
      </c>
      <c r="K8" s="98"/>
      <c r="L8" s="144"/>
      <c r="M8" s="6"/>
      <c r="O8" s="294" t="s">
        <v>256</v>
      </c>
      <c r="P8" s="98"/>
      <c r="Q8" s="295">
        <v>1866000.0</v>
      </c>
      <c r="R8" s="292"/>
      <c r="S8" s="264"/>
    </row>
    <row r="9" ht="14.25" customHeight="1">
      <c r="A9" s="5"/>
      <c r="B9" s="5" t="s">
        <v>7</v>
      </c>
      <c r="C9" s="5"/>
      <c r="D9" s="21"/>
      <c r="E9" s="6"/>
      <c r="F9" s="6"/>
      <c r="G9" s="6"/>
      <c r="H9" s="6"/>
      <c r="I9" s="6"/>
      <c r="J9" s="132" t="s">
        <v>405</v>
      </c>
      <c r="L9" s="146"/>
      <c r="M9" s="6"/>
      <c r="O9" s="296"/>
      <c r="Q9" s="297"/>
      <c r="R9" s="292"/>
      <c r="S9" s="264"/>
    </row>
    <row r="10" ht="14.25" customHeight="1">
      <c r="A10" s="5"/>
      <c r="B10" s="5"/>
      <c r="C10" s="5" t="s">
        <v>8</v>
      </c>
      <c r="D10" s="24">
        <v>100000.0</v>
      </c>
      <c r="E10" s="6"/>
      <c r="F10" s="6"/>
      <c r="G10" s="6"/>
      <c r="H10" s="6"/>
      <c r="I10" s="6"/>
      <c r="J10" s="132"/>
      <c r="L10" s="146"/>
      <c r="M10" s="6"/>
      <c r="O10" s="296"/>
      <c r="Q10" s="297"/>
      <c r="R10" s="292"/>
      <c r="S10" s="264"/>
    </row>
    <row r="11" ht="14.25" customHeight="1">
      <c r="A11" s="5"/>
      <c r="B11" s="17"/>
      <c r="C11" s="18"/>
      <c r="D11" s="219">
        <v>0.0</v>
      </c>
      <c r="E11" s="6"/>
      <c r="F11" s="6"/>
      <c r="G11" s="6"/>
      <c r="H11" s="6"/>
      <c r="I11" s="6"/>
      <c r="J11" s="103"/>
      <c r="K11" s="104"/>
      <c r="L11" s="23"/>
      <c r="M11" s="179">
        <f>SUM(L8:L11)</f>
        <v>0</v>
      </c>
      <c r="O11" s="298"/>
      <c r="P11" s="104"/>
      <c r="Q11" s="297"/>
      <c r="R11" s="299">
        <v>2466000.0</v>
      </c>
      <c r="S11" s="264"/>
    </row>
    <row r="12" ht="14.25" customHeight="1">
      <c r="A12" s="5"/>
      <c r="B12" s="5"/>
      <c r="C12" s="21" t="s">
        <v>9</v>
      </c>
      <c r="D12" s="89"/>
      <c r="E12" s="6"/>
      <c r="F12" s="6"/>
      <c r="G12" s="6"/>
      <c r="H12" s="6"/>
      <c r="I12" s="6"/>
      <c r="J12" s="204" t="s">
        <v>364</v>
      </c>
      <c r="K12" s="29"/>
      <c r="L12" s="30"/>
      <c r="M12" s="6"/>
      <c r="O12" s="300" t="s">
        <v>10</v>
      </c>
      <c r="P12" s="29"/>
      <c r="Q12" s="30"/>
      <c r="R12" s="292"/>
      <c r="S12" s="264"/>
    </row>
    <row r="13" ht="14.25" customHeight="1">
      <c r="A13" s="5"/>
      <c r="B13" s="31"/>
      <c r="C13" s="31"/>
      <c r="D13" s="90"/>
      <c r="E13" s="6"/>
      <c r="F13" s="6"/>
      <c r="G13" s="6"/>
      <c r="H13" s="6"/>
      <c r="I13" s="6"/>
      <c r="J13" s="143"/>
      <c r="K13" s="98"/>
      <c r="L13" s="144"/>
      <c r="M13" s="6"/>
      <c r="O13" s="294"/>
      <c r="P13" s="98"/>
      <c r="Q13" s="301"/>
      <c r="R13" s="292"/>
      <c r="S13" s="264"/>
    </row>
    <row r="14" ht="14.25" customHeight="1">
      <c r="A14" s="5"/>
      <c r="B14" s="278" t="s">
        <v>438</v>
      </c>
      <c r="C14" s="33"/>
      <c r="D14" s="279">
        <f>SUM(D10:D13)</f>
        <v>100000</v>
      </c>
      <c r="E14" s="6"/>
      <c r="F14" s="6"/>
      <c r="G14" s="6"/>
      <c r="H14" s="6"/>
      <c r="I14" s="6"/>
      <c r="J14" s="132" t="s">
        <v>257</v>
      </c>
      <c r="L14" s="146">
        <v>14000.0</v>
      </c>
      <c r="M14" s="6"/>
      <c r="O14" s="302" t="s">
        <v>459</v>
      </c>
      <c r="Q14" s="303">
        <v>600000.0</v>
      </c>
      <c r="R14" s="292"/>
      <c r="S14" s="264"/>
    </row>
    <row r="15" ht="14.25" customHeight="1">
      <c r="A15" s="5"/>
      <c r="B15" s="278" t="s">
        <v>440</v>
      </c>
      <c r="C15" s="33"/>
      <c r="D15" s="281">
        <f>D8</f>
        <v>600000</v>
      </c>
      <c r="E15" s="6"/>
      <c r="F15" s="6"/>
      <c r="G15" s="6"/>
      <c r="H15" s="6"/>
      <c r="I15" s="6"/>
      <c r="J15" s="132"/>
      <c r="L15" s="23"/>
      <c r="M15" s="6"/>
      <c r="O15" s="296"/>
      <c r="Q15" s="297"/>
      <c r="R15" s="292"/>
      <c r="S15" s="264"/>
    </row>
    <row r="16" ht="14.25" customHeight="1">
      <c r="A16" s="5"/>
      <c r="B16" s="6"/>
      <c r="C16" s="6"/>
      <c r="D16" s="6"/>
      <c r="E16" s="6"/>
      <c r="F16" s="6"/>
      <c r="G16" s="6"/>
      <c r="H16" s="6"/>
      <c r="I16" s="6"/>
      <c r="J16" s="22"/>
      <c r="L16" s="23"/>
      <c r="M16" s="6"/>
      <c r="O16" s="296"/>
      <c r="Q16" s="297"/>
      <c r="R16" s="292"/>
      <c r="S16" s="264"/>
    </row>
    <row r="17" ht="14.25" customHeight="1">
      <c r="A17" s="5"/>
      <c r="B17" s="6"/>
      <c r="C17" s="6"/>
      <c r="D17" s="6"/>
      <c r="E17" s="6"/>
      <c r="F17" s="6"/>
      <c r="G17" s="6"/>
      <c r="H17" s="6"/>
      <c r="I17" s="6"/>
      <c r="J17" s="22"/>
      <c r="L17" s="23"/>
      <c r="M17" s="6"/>
      <c r="O17" s="296"/>
      <c r="Q17" s="297"/>
      <c r="R17" s="292"/>
      <c r="S17" s="264"/>
    </row>
    <row r="18" ht="14.25" customHeight="1">
      <c r="A18" s="5"/>
      <c r="B18" s="6"/>
      <c r="C18" s="6"/>
      <c r="D18" s="6"/>
      <c r="E18" s="6"/>
      <c r="F18" s="6"/>
      <c r="G18" s="6"/>
      <c r="H18" s="6"/>
      <c r="I18" s="6"/>
      <c r="J18" s="22"/>
      <c r="L18" s="23"/>
      <c r="M18" s="6"/>
      <c r="O18" s="296"/>
      <c r="Q18" s="297"/>
      <c r="R18" s="292"/>
      <c r="S18" s="264"/>
    </row>
    <row r="19" ht="14.25" customHeight="1">
      <c r="A19" s="5"/>
      <c r="B19" s="260"/>
      <c r="C19" s="6"/>
      <c r="D19" s="6"/>
      <c r="E19" s="6"/>
      <c r="F19" s="6"/>
      <c r="G19" s="6"/>
      <c r="H19" s="6"/>
      <c r="I19" s="6"/>
      <c r="J19" s="22"/>
      <c r="L19" s="23"/>
      <c r="M19" s="179">
        <f>SUM(L13:L19)</f>
        <v>14000</v>
      </c>
      <c r="O19" s="296"/>
      <c r="Q19" s="297"/>
      <c r="R19" s="304">
        <f>SUM(Q13:Q18)</f>
        <v>600000</v>
      </c>
      <c r="S19" s="264"/>
    </row>
    <row r="20" ht="14.25" customHeight="1">
      <c r="A20" s="5"/>
      <c r="B20" s="6"/>
      <c r="C20" s="6"/>
      <c r="D20" s="6"/>
      <c r="E20" s="6"/>
      <c r="F20" s="6"/>
      <c r="G20" s="6"/>
      <c r="H20" s="6"/>
      <c r="I20" s="6"/>
      <c r="J20" s="75"/>
      <c r="K20" s="76"/>
      <c r="L20" s="77"/>
      <c r="M20" s="64"/>
      <c r="N20" s="6"/>
      <c r="O20" s="305"/>
      <c r="P20" s="76"/>
      <c r="Q20" s="77"/>
      <c r="R20" s="306"/>
      <c r="S20" s="264"/>
    </row>
    <row r="21" ht="14.25" customHeight="1">
      <c r="A21" s="5"/>
      <c r="B21" s="6"/>
      <c r="C21" s="6"/>
      <c r="D21" s="6"/>
      <c r="E21" s="6"/>
      <c r="F21" s="6"/>
      <c r="G21" s="6"/>
      <c r="H21" s="6"/>
      <c r="I21" s="6"/>
      <c r="J21" s="63"/>
      <c r="K21" s="37"/>
      <c r="L21" s="38"/>
      <c r="M21" s="64"/>
      <c r="O21" s="307"/>
      <c r="P21" s="37"/>
      <c r="Q21" s="38"/>
      <c r="R21" s="306"/>
      <c r="S21" s="264"/>
    </row>
    <row r="22" ht="14.25" customHeight="1">
      <c r="A22" s="5"/>
      <c r="B22" s="6"/>
      <c r="C22" s="6"/>
      <c r="D22" s="6"/>
      <c r="E22" s="6"/>
      <c r="F22" s="6"/>
      <c r="G22" s="6"/>
      <c r="H22" s="6"/>
      <c r="I22" s="6"/>
      <c r="J22" s="79"/>
      <c r="K22" s="37"/>
      <c r="L22" s="38"/>
      <c r="M22" s="83"/>
      <c r="O22" s="308"/>
      <c r="P22" s="37"/>
      <c r="Q22" s="38"/>
      <c r="R22" s="309"/>
      <c r="S22" s="264"/>
    </row>
    <row r="23" ht="14.25" customHeight="1">
      <c r="A23" s="5"/>
      <c r="B23" s="6"/>
      <c r="C23" s="6"/>
      <c r="D23" s="6"/>
      <c r="E23" s="6"/>
      <c r="F23" s="6"/>
      <c r="G23" s="6"/>
      <c r="H23" s="6"/>
      <c r="I23" s="6"/>
      <c r="J23" s="147" t="s">
        <v>12</v>
      </c>
      <c r="K23" s="86"/>
      <c r="L23" s="55"/>
      <c r="M23" s="148">
        <f>M11+M19</f>
        <v>14000</v>
      </c>
      <c r="N23" s="78"/>
      <c r="O23" s="310" t="s">
        <v>12</v>
      </c>
      <c r="P23" s="37"/>
      <c r="Q23" s="38"/>
      <c r="R23" s="311">
        <f>R11+R19</f>
        <v>3066000</v>
      </c>
      <c r="S23" s="264"/>
    </row>
    <row r="24" ht="14.25" customHeight="1">
      <c r="A24" s="5"/>
      <c r="B24" s="6"/>
      <c r="C24" s="6"/>
      <c r="D24" s="6"/>
      <c r="E24" s="6"/>
      <c r="F24" s="6"/>
      <c r="G24" s="6"/>
      <c r="H24" s="6"/>
      <c r="I24" s="6"/>
      <c r="J24" s="149" t="s">
        <v>172</v>
      </c>
      <c r="K24" s="37"/>
      <c r="L24" s="38"/>
      <c r="M24" s="150"/>
      <c r="O24" s="302"/>
      <c r="Q24" s="312"/>
      <c r="R24" s="292"/>
      <c r="S24" s="264"/>
    </row>
    <row r="25" ht="14.25" customHeight="1">
      <c r="A25" s="5"/>
      <c r="B25" s="6"/>
      <c r="C25" s="6"/>
      <c r="D25" s="6"/>
      <c r="E25" s="6"/>
      <c r="F25" s="6"/>
      <c r="G25" s="6"/>
      <c r="H25" s="6"/>
      <c r="I25" s="6"/>
      <c r="J25" s="151" t="s">
        <v>173</v>
      </c>
      <c r="K25" s="37"/>
      <c r="L25" s="38"/>
      <c r="M25" s="152"/>
      <c r="O25" s="302"/>
      <c r="Q25" s="313"/>
      <c r="R25" s="292"/>
      <c r="S25" s="264"/>
    </row>
    <row r="26" ht="14.25" customHeight="1">
      <c r="A26" s="5"/>
      <c r="B26" s="6"/>
      <c r="C26" s="6"/>
      <c r="D26" s="6"/>
      <c r="E26" s="6"/>
      <c r="F26" s="6"/>
      <c r="G26" s="6"/>
      <c r="H26" s="6"/>
      <c r="I26" s="6"/>
      <c r="J26" s="135"/>
      <c r="L26" s="136"/>
      <c r="M26" s="6"/>
      <c r="O26" s="296"/>
      <c r="Q26" s="314"/>
      <c r="R26" s="292"/>
      <c r="S26" s="264"/>
    </row>
    <row r="27" ht="14.25" customHeight="1">
      <c r="A27" s="5"/>
      <c r="B27" s="6"/>
      <c r="C27" s="6"/>
      <c r="D27" s="6"/>
      <c r="E27" s="6"/>
      <c r="F27" s="6"/>
      <c r="G27" s="6"/>
      <c r="H27" s="6"/>
      <c r="I27" s="6"/>
      <c r="J27" s="135"/>
      <c r="L27" s="134"/>
      <c r="M27" s="6"/>
      <c r="O27" s="296"/>
      <c r="Q27" s="314"/>
      <c r="R27" s="292"/>
      <c r="S27" s="264"/>
    </row>
    <row r="28" ht="14.25" customHeight="1">
      <c r="A28" s="6"/>
      <c r="B28" s="42" t="s">
        <v>17</v>
      </c>
      <c r="C28" s="6"/>
      <c r="D28" s="6"/>
      <c r="E28" s="6"/>
      <c r="F28" s="6"/>
      <c r="G28" s="6"/>
      <c r="H28" s="6"/>
      <c r="I28" s="6"/>
      <c r="J28" s="135"/>
      <c r="L28" s="134"/>
      <c r="M28" s="6"/>
      <c r="O28" s="315"/>
      <c r="P28" s="46"/>
      <c r="Q28" s="314"/>
      <c r="R28" s="292"/>
      <c r="S28" s="264"/>
    </row>
    <row r="29" ht="14.25" customHeight="1">
      <c r="A29" s="6"/>
      <c r="B29" s="153" t="s">
        <v>255</v>
      </c>
      <c r="C29" s="8"/>
      <c r="D29" s="6"/>
      <c r="E29" s="6"/>
      <c r="F29" s="6"/>
      <c r="G29" s="6"/>
      <c r="H29" s="6"/>
      <c r="I29" s="6"/>
      <c r="J29" s="135"/>
      <c r="L29" s="134"/>
      <c r="M29" s="6"/>
      <c r="O29" s="315"/>
      <c r="P29" s="46"/>
      <c r="Q29" s="314"/>
      <c r="R29" s="292"/>
      <c r="S29" s="264"/>
    </row>
    <row r="30" ht="14.25" customHeight="1">
      <c r="A30" s="5"/>
      <c r="B30" s="6"/>
      <c r="C30" s="6"/>
      <c r="D30" s="6"/>
      <c r="E30" s="6"/>
      <c r="F30" s="6"/>
      <c r="G30" s="6"/>
      <c r="H30" s="6"/>
      <c r="I30" s="6"/>
      <c r="J30" s="135"/>
      <c r="K30" s="46"/>
      <c r="L30" s="134"/>
      <c r="M30" s="6"/>
      <c r="O30" s="315"/>
      <c r="P30" s="46"/>
      <c r="Q30" s="314"/>
      <c r="R30" s="292"/>
      <c r="S30" s="264"/>
    </row>
    <row r="31" ht="14.25" customHeight="1">
      <c r="A31" s="5"/>
      <c r="B31" s="25"/>
      <c r="C31" s="27" t="s">
        <v>3</v>
      </c>
      <c r="D31" s="154" t="s">
        <v>460</v>
      </c>
      <c r="E31" s="6"/>
      <c r="F31" s="6"/>
      <c r="G31" s="6"/>
      <c r="H31" s="6"/>
      <c r="I31" s="6"/>
      <c r="J31" s="135"/>
      <c r="K31" s="46"/>
      <c r="L31" s="134"/>
      <c r="M31" s="6"/>
      <c r="O31" s="315"/>
      <c r="P31" s="46"/>
      <c r="Q31" s="314"/>
      <c r="R31" s="292"/>
      <c r="S31" s="264"/>
    </row>
    <row r="32" ht="14.25" customHeight="1">
      <c r="A32" s="5"/>
      <c r="B32" s="24" t="s">
        <v>24</v>
      </c>
      <c r="C32" s="44">
        <v>41000.0</v>
      </c>
      <c r="D32" s="180"/>
      <c r="E32" s="6"/>
      <c r="F32" s="6"/>
      <c r="G32" s="6"/>
      <c r="H32" s="6"/>
      <c r="I32" s="6"/>
      <c r="J32" s="132"/>
      <c r="L32" s="134"/>
      <c r="M32" s="6"/>
      <c r="O32" s="296"/>
      <c r="Q32" s="314"/>
      <c r="R32" s="292"/>
      <c r="S32" s="264"/>
    </row>
    <row r="33" ht="14.25" customHeight="1">
      <c r="A33" s="6"/>
      <c r="B33" s="44" t="s">
        <v>26</v>
      </c>
      <c r="C33" s="44">
        <v>4000.0</v>
      </c>
      <c r="D33" s="180"/>
      <c r="E33" s="6"/>
      <c r="F33" s="6"/>
      <c r="G33" s="6"/>
      <c r="H33" s="6"/>
      <c r="I33" s="6"/>
      <c r="J33" s="22"/>
      <c r="L33" s="41"/>
      <c r="M33" s="6"/>
      <c r="O33" s="296"/>
      <c r="Q33" s="314"/>
      <c r="R33" s="292"/>
      <c r="S33" s="264"/>
    </row>
    <row r="34" ht="14.25" customHeight="1">
      <c r="A34" s="5"/>
      <c r="B34" s="44" t="s">
        <v>27</v>
      </c>
      <c r="C34" s="44">
        <v>1000.0</v>
      </c>
      <c r="D34" s="180"/>
      <c r="E34" s="6"/>
      <c r="F34" s="6"/>
      <c r="G34" s="6"/>
      <c r="H34" s="6"/>
      <c r="I34" s="6"/>
      <c r="J34" s="22"/>
      <c r="L34" s="41"/>
      <c r="M34" s="6"/>
      <c r="O34" s="296"/>
      <c r="Q34" s="314"/>
      <c r="R34" s="292"/>
      <c r="S34" s="264"/>
    </row>
    <row r="35" ht="14.25" customHeight="1">
      <c r="A35" s="5"/>
      <c r="B35" s="44" t="s">
        <v>29</v>
      </c>
      <c r="C35" s="157">
        <v>14000.0</v>
      </c>
      <c r="D35" s="155"/>
      <c r="E35" s="131"/>
      <c r="F35" s="131"/>
      <c r="G35" s="6"/>
      <c r="H35" s="6"/>
      <c r="I35" s="6"/>
      <c r="J35" s="22"/>
      <c r="L35" s="41"/>
      <c r="M35" s="6"/>
      <c r="O35" s="296"/>
      <c r="Q35" s="314"/>
      <c r="R35" s="292"/>
      <c r="S35" s="264"/>
    </row>
    <row r="36" ht="14.25" customHeight="1">
      <c r="A36" s="5"/>
      <c r="B36" s="44" t="s">
        <v>31</v>
      </c>
      <c r="C36" s="44">
        <v>5000.0</v>
      </c>
      <c r="D36" s="155"/>
      <c r="E36" s="131"/>
      <c r="F36" s="131"/>
      <c r="G36" s="6"/>
      <c r="H36" s="6"/>
      <c r="I36" s="6"/>
      <c r="J36" s="22"/>
      <c r="L36" s="41"/>
      <c r="M36" s="6"/>
      <c r="O36" s="296"/>
      <c r="Q36" s="314"/>
      <c r="R36" s="292"/>
      <c r="S36" s="264"/>
    </row>
    <row r="37" ht="14.25" customHeight="1">
      <c r="A37" s="5"/>
      <c r="B37" s="157" t="s">
        <v>449</v>
      </c>
      <c r="C37" s="157">
        <v>5000.0</v>
      </c>
      <c r="D37" s="155"/>
      <c r="E37" s="6"/>
      <c r="F37" s="6"/>
      <c r="G37" s="6"/>
      <c r="H37" s="6"/>
      <c r="I37" s="6"/>
      <c r="J37" s="22"/>
      <c r="K37" s="6"/>
      <c r="L37" s="47"/>
      <c r="M37" s="6"/>
      <c r="O37" s="296"/>
      <c r="P37" s="292"/>
      <c r="Q37" s="316"/>
      <c r="R37" s="292"/>
      <c r="S37" s="264"/>
    </row>
    <row r="38" ht="14.25" customHeight="1">
      <c r="A38" s="5"/>
      <c r="B38" s="44" t="s">
        <v>33</v>
      </c>
      <c r="C38" s="157">
        <v>10000.0</v>
      </c>
      <c r="D38" s="155"/>
      <c r="E38" s="6"/>
      <c r="F38" s="6"/>
      <c r="G38" s="6"/>
      <c r="H38" s="6"/>
      <c r="I38" s="6"/>
      <c r="J38" s="22"/>
      <c r="K38" s="46"/>
      <c r="L38" s="47"/>
      <c r="M38" s="6"/>
      <c r="O38" s="296"/>
      <c r="P38" s="46"/>
      <c r="Q38" s="316"/>
      <c r="R38" s="292"/>
      <c r="S38" s="264"/>
    </row>
    <row r="39" ht="14.25" customHeight="1">
      <c r="A39" s="5"/>
      <c r="B39" s="157" t="s">
        <v>181</v>
      </c>
      <c r="C39" s="157">
        <v>10000.0</v>
      </c>
      <c r="D39" s="155"/>
      <c r="E39" s="6"/>
      <c r="F39" s="6"/>
      <c r="G39" s="6"/>
      <c r="H39" s="6"/>
      <c r="I39" s="6"/>
      <c r="J39" s="158" t="s">
        <v>28</v>
      </c>
      <c r="K39" s="38"/>
      <c r="L39" s="49">
        <f>SUM(L24:L36)</f>
        <v>0</v>
      </c>
      <c r="M39" s="6"/>
      <c r="O39" s="317" t="s">
        <v>28</v>
      </c>
      <c r="P39" s="38"/>
      <c r="Q39" s="318">
        <f>SUM(Q24:Q36)</f>
        <v>0</v>
      </c>
      <c r="R39" s="292"/>
      <c r="S39" s="264"/>
    </row>
    <row r="40" ht="14.25" customHeight="1">
      <c r="A40" s="5"/>
      <c r="B40" s="157" t="s">
        <v>183</v>
      </c>
      <c r="C40" s="157">
        <v>10000.0</v>
      </c>
      <c r="D40" s="155"/>
      <c r="E40" s="6"/>
      <c r="F40" s="6"/>
      <c r="G40" s="6"/>
      <c r="H40" s="6"/>
      <c r="I40" s="6"/>
      <c r="J40" s="135"/>
      <c r="L40" s="136"/>
      <c r="M40" s="6"/>
      <c r="O40" s="319"/>
      <c r="Q40" s="320"/>
      <c r="R40" s="292"/>
      <c r="S40" s="264"/>
    </row>
    <row r="41" ht="14.25" customHeight="1">
      <c r="A41" s="5"/>
      <c r="B41" s="53" t="s">
        <v>11</v>
      </c>
      <c r="C41" s="160">
        <f>SUM(C32:C40)</f>
        <v>100000</v>
      </c>
      <c r="D41" s="55"/>
      <c r="E41" s="6"/>
      <c r="F41" s="6"/>
      <c r="G41" s="6"/>
      <c r="H41" s="6"/>
      <c r="I41" s="6"/>
      <c r="J41" s="135"/>
      <c r="L41" s="134"/>
      <c r="M41" s="6"/>
      <c r="O41" s="315"/>
      <c r="Q41" s="314"/>
      <c r="R41" s="292"/>
      <c r="S41" s="264"/>
    </row>
    <row r="42" ht="14.25" customHeight="1">
      <c r="A42" s="5"/>
      <c r="B42" s="56"/>
      <c r="C42" s="57"/>
      <c r="D42" s="58"/>
      <c r="E42" s="6"/>
      <c r="F42" s="6"/>
      <c r="G42" s="6"/>
      <c r="H42" s="6"/>
      <c r="I42" s="6"/>
      <c r="J42" s="135"/>
      <c r="L42" s="134"/>
      <c r="M42" s="6"/>
      <c r="O42" s="315"/>
      <c r="Q42" s="314"/>
      <c r="R42" s="292"/>
      <c r="S42" s="264"/>
    </row>
    <row r="43" ht="14.25" customHeight="1">
      <c r="A43" s="5"/>
      <c r="B43" s="6"/>
      <c r="C43" s="6"/>
      <c r="D43" s="6"/>
      <c r="E43" s="6"/>
      <c r="F43" s="6"/>
      <c r="G43" s="6"/>
      <c r="H43" s="6"/>
      <c r="I43" s="6"/>
      <c r="J43" s="50"/>
      <c r="L43" s="41"/>
      <c r="M43" s="6"/>
      <c r="N43" s="6"/>
      <c r="O43" s="315"/>
      <c r="Q43" s="314"/>
      <c r="R43" s="296"/>
      <c r="S43" s="264"/>
    </row>
    <row r="44" ht="14.25" customHeight="1">
      <c r="A44" s="5"/>
      <c r="B44" s="6"/>
      <c r="C44" s="6"/>
      <c r="D44" s="6"/>
      <c r="E44" s="6"/>
      <c r="F44" s="6"/>
      <c r="G44" s="6"/>
      <c r="H44" s="6"/>
      <c r="I44" s="6"/>
      <c r="J44" s="50"/>
      <c r="L44" s="41"/>
      <c r="M44" s="6"/>
      <c r="N44" s="6"/>
      <c r="O44" s="315"/>
      <c r="Q44" s="321"/>
      <c r="R44" s="296"/>
      <c r="S44" s="264"/>
    </row>
    <row r="45" ht="14.25" customHeight="1">
      <c r="A45" s="5"/>
      <c r="B45" s="6"/>
      <c r="C45" s="6"/>
      <c r="D45" s="6"/>
      <c r="E45" s="6"/>
      <c r="F45" s="6"/>
      <c r="G45" s="6"/>
      <c r="H45" s="6"/>
      <c r="I45" s="6"/>
      <c r="J45" s="50"/>
      <c r="L45" s="41"/>
      <c r="M45" s="6"/>
      <c r="O45" s="315"/>
      <c r="Q45" s="314"/>
      <c r="R45" s="296"/>
      <c r="S45" s="264"/>
    </row>
    <row r="46" ht="14.25" customHeight="1">
      <c r="A46" s="5"/>
      <c r="B46" s="6"/>
      <c r="C46" s="6"/>
      <c r="D46" s="6"/>
      <c r="E46" s="6"/>
      <c r="F46" s="6"/>
      <c r="G46" s="6"/>
      <c r="H46" s="6"/>
      <c r="I46" s="6"/>
      <c r="J46" s="81"/>
      <c r="K46" s="46"/>
      <c r="L46" s="47"/>
      <c r="M46" s="6"/>
      <c r="O46" s="322"/>
      <c r="P46" s="46"/>
      <c r="Q46" s="323"/>
      <c r="R46" s="296"/>
      <c r="S46" s="264"/>
    </row>
    <row r="47" ht="14.25" customHeight="1">
      <c r="A47" s="5"/>
      <c r="B47" s="6"/>
      <c r="C47" s="6"/>
      <c r="D47" s="6"/>
      <c r="E47" s="6"/>
      <c r="F47" s="6"/>
      <c r="G47" s="6"/>
      <c r="H47" s="6"/>
      <c r="I47" s="6"/>
      <c r="J47" s="81"/>
      <c r="K47" s="46"/>
      <c r="L47" s="47"/>
      <c r="M47" s="6"/>
      <c r="O47" s="322"/>
      <c r="P47" s="46"/>
      <c r="Q47" s="323"/>
      <c r="R47" s="296"/>
      <c r="S47" s="264"/>
    </row>
    <row r="48" ht="14.25" customHeight="1">
      <c r="A48" s="5"/>
      <c r="B48" s="6"/>
      <c r="C48" s="6"/>
      <c r="D48" s="6"/>
      <c r="E48" s="6"/>
      <c r="F48" s="6"/>
      <c r="G48" s="6"/>
      <c r="H48" s="6"/>
      <c r="I48" s="6"/>
      <c r="J48" s="50"/>
      <c r="L48" s="47"/>
      <c r="M48" s="6"/>
      <c r="O48" s="315"/>
      <c r="Q48" s="316"/>
      <c r="R48" s="292"/>
      <c r="S48" s="264"/>
    </row>
    <row r="49" ht="14.25" customHeight="1">
      <c r="A49" s="5"/>
      <c r="B49" s="6"/>
      <c r="C49" s="6"/>
      <c r="D49" s="6"/>
      <c r="E49" s="6"/>
      <c r="F49" s="6"/>
      <c r="G49" s="6"/>
      <c r="H49" s="6"/>
      <c r="I49" s="6"/>
      <c r="J49" s="161" t="s">
        <v>37</v>
      </c>
      <c r="K49" s="60"/>
      <c r="L49" s="82">
        <f>SUM(L40:L48)</f>
        <v>0</v>
      </c>
      <c r="M49" s="6"/>
      <c r="O49" s="324" t="s">
        <v>37</v>
      </c>
      <c r="P49" s="60"/>
      <c r="Q49" s="325">
        <f>SUM(Q40:Q48)</f>
        <v>0</v>
      </c>
      <c r="R49" s="292"/>
      <c r="S49" s="264"/>
    </row>
    <row r="50" ht="14.25" customHeight="1">
      <c r="A50" s="5"/>
      <c r="B50" s="6"/>
      <c r="C50" s="6"/>
      <c r="D50" s="6"/>
      <c r="E50" s="6"/>
      <c r="F50" s="6"/>
      <c r="G50" s="6"/>
      <c r="H50" s="6"/>
      <c r="I50" s="6"/>
      <c r="J50" s="163" t="s">
        <v>38</v>
      </c>
      <c r="K50" s="37"/>
      <c r="L50" s="38"/>
      <c r="M50" s="83">
        <f>L39+L49</f>
        <v>0</v>
      </c>
      <c r="O50" s="326" t="s">
        <v>38</v>
      </c>
      <c r="P50" s="37"/>
      <c r="Q50" s="38"/>
      <c r="R50" s="309">
        <f>Q39+Q49</f>
        <v>0</v>
      </c>
      <c r="S50" s="264"/>
    </row>
    <row r="51" ht="14.25" customHeight="1">
      <c r="A51" s="5"/>
      <c r="B51" s="6"/>
      <c r="C51" s="6"/>
      <c r="D51" s="6"/>
      <c r="E51" s="6"/>
      <c r="F51" s="6"/>
      <c r="G51" s="6"/>
      <c r="H51" s="6"/>
      <c r="I51" s="6"/>
      <c r="J51" s="165" t="s">
        <v>264</v>
      </c>
      <c r="K51" s="37"/>
      <c r="L51" s="38"/>
      <c r="M51" s="166">
        <f>M23-M50</f>
        <v>14000</v>
      </c>
      <c r="O51" s="327" t="s">
        <v>39</v>
      </c>
      <c r="P51" s="37"/>
      <c r="Q51" s="38"/>
      <c r="R51" s="328">
        <f>R11-R50</f>
        <v>2466000</v>
      </c>
      <c r="S51" s="264"/>
    </row>
    <row r="52" ht="14.25" customHeight="1">
      <c r="A52" s="5"/>
      <c r="B52" s="6"/>
      <c r="C52" s="6"/>
      <c r="D52" s="6"/>
      <c r="E52" s="6"/>
      <c r="F52" s="6"/>
      <c r="G52" s="6"/>
      <c r="H52" s="6"/>
      <c r="I52" s="6"/>
      <c r="J52" s="167" t="s">
        <v>265</v>
      </c>
      <c r="K52" s="37"/>
      <c r="L52" s="84"/>
      <c r="M52" s="168"/>
      <c r="N52" s="78"/>
      <c r="O52" s="329" t="s">
        <v>451</v>
      </c>
      <c r="P52" s="37"/>
      <c r="Q52" s="84"/>
      <c r="R52" s="330">
        <f>R19</f>
        <v>600000</v>
      </c>
      <c r="S52" s="264"/>
    </row>
    <row r="53" ht="14.25" customHeight="1">
      <c r="A53" s="5"/>
      <c r="B53" s="6"/>
      <c r="C53" s="6"/>
      <c r="D53" s="6"/>
      <c r="E53" s="6"/>
      <c r="F53" s="6"/>
      <c r="G53" s="6"/>
      <c r="H53" s="6"/>
      <c r="I53" s="6"/>
      <c r="J53" s="266" t="s">
        <v>266</v>
      </c>
      <c r="K53" s="86"/>
      <c r="L53" s="267"/>
      <c r="M53" s="268"/>
      <c r="N53" s="78"/>
      <c r="O53" s="331" t="s">
        <v>452</v>
      </c>
      <c r="P53" s="37"/>
      <c r="Q53" s="84"/>
      <c r="R53" s="332">
        <f>R51+R52</f>
        <v>3066000</v>
      </c>
      <c r="S53" s="264"/>
    </row>
    <row r="54" ht="14.25" customHeight="1">
      <c r="A54" s="5"/>
      <c r="B54" s="6"/>
      <c r="C54" s="6"/>
      <c r="D54" s="6"/>
      <c r="E54" s="6"/>
      <c r="F54" s="6"/>
      <c r="G54" s="6"/>
      <c r="H54" s="6"/>
      <c r="I54" s="6"/>
      <c r="J54" s="131"/>
      <c r="K54" s="131"/>
      <c r="L54" s="6"/>
      <c r="M54" s="6"/>
    </row>
    <row r="55" ht="14.25" customHeight="1">
      <c r="A55" s="5"/>
      <c r="B55" s="6"/>
      <c r="C55" s="6"/>
      <c r="D55" s="6"/>
      <c r="E55" s="6"/>
      <c r="F55" s="6"/>
      <c r="G55" s="6"/>
      <c r="H55" s="131"/>
      <c r="I55" s="6"/>
      <c r="J55" s="272" t="s">
        <v>247</v>
      </c>
      <c r="K55" s="273">
        <v>680800.0</v>
      </c>
      <c r="L55" s="251" t="s">
        <v>416</v>
      </c>
      <c r="O55" s="269" t="s">
        <v>417</v>
      </c>
    </row>
    <row r="56" ht="14.25" customHeight="1">
      <c r="A56" s="5"/>
      <c r="B56" s="6"/>
      <c r="C56" s="6"/>
      <c r="D56" s="6"/>
      <c r="E56" s="6"/>
      <c r="F56" s="6"/>
      <c r="G56" s="6"/>
      <c r="H56" s="6"/>
      <c r="I56" s="6"/>
      <c r="J56" s="272" t="s">
        <v>248</v>
      </c>
      <c r="K56" s="273">
        <v>152000.0</v>
      </c>
      <c r="L56" s="253">
        <v>46064.0</v>
      </c>
      <c r="M56" s="131">
        <v>145000.0</v>
      </c>
      <c r="O56" s="254">
        <v>1000000.0</v>
      </c>
    </row>
    <row r="57" ht="14.25" customHeight="1">
      <c r="A57" s="5"/>
      <c r="B57" s="6"/>
      <c r="C57" s="6"/>
      <c r="D57" s="6"/>
      <c r="E57" s="6"/>
      <c r="F57" s="6"/>
      <c r="G57" s="6"/>
      <c r="H57" s="6"/>
      <c r="I57" s="6"/>
      <c r="J57" s="255" t="s">
        <v>403</v>
      </c>
      <c r="K57" s="256">
        <f>K55+K56</f>
        <v>832800</v>
      </c>
      <c r="L57" s="253">
        <v>46079.0</v>
      </c>
      <c r="M57" s="131">
        <v>145000.0</v>
      </c>
      <c r="O57" s="254">
        <v>1000000.0</v>
      </c>
    </row>
    <row r="58" ht="14.25" customHeight="1">
      <c r="A58" s="5"/>
      <c r="B58" s="6"/>
      <c r="C58" s="6"/>
      <c r="D58" s="6"/>
      <c r="E58" s="6"/>
      <c r="F58" s="6"/>
      <c r="G58" s="6"/>
      <c r="H58" s="6"/>
      <c r="I58" s="6"/>
      <c r="J58" s="131"/>
      <c r="K58" s="131"/>
      <c r="L58" s="257" t="s">
        <v>402</v>
      </c>
      <c r="M58" s="258">
        <f>SUM(M56:M57)</f>
        <v>290000</v>
      </c>
      <c r="N58" s="250"/>
      <c r="O58" s="259">
        <f>SUM(O56:O57)</f>
        <v>2000000</v>
      </c>
    </row>
    <row r="59" ht="14.25" customHeight="1">
      <c r="A59" s="5"/>
      <c r="B59" s="6"/>
      <c r="C59" s="6"/>
      <c r="D59" s="6"/>
      <c r="E59" s="6"/>
      <c r="F59" s="6"/>
      <c r="G59" s="6"/>
      <c r="H59" s="6"/>
      <c r="I59" s="6"/>
      <c r="J59" s="131"/>
      <c r="K59" s="131"/>
      <c r="L59" s="6"/>
      <c r="M59" s="250"/>
      <c r="N59" s="250"/>
      <c r="O59" s="260"/>
    </row>
    <row r="60" ht="14.25" customHeight="1">
      <c r="A60" s="5"/>
      <c r="B60" s="6"/>
      <c r="C60" s="6"/>
      <c r="D60" s="6"/>
      <c r="E60" s="6"/>
      <c r="F60" s="6"/>
      <c r="G60" s="6"/>
      <c r="H60" s="6"/>
      <c r="I60" s="6"/>
      <c r="J60" s="196"/>
      <c r="K60" s="250"/>
      <c r="L60" s="6"/>
      <c r="M60" s="250"/>
      <c r="N60" s="250"/>
      <c r="O60" s="260"/>
    </row>
    <row r="61" ht="14.25" customHeight="1">
      <c r="A61" s="5"/>
      <c r="B61" s="6"/>
      <c r="C61" s="6"/>
      <c r="D61" s="6"/>
      <c r="E61" s="6"/>
      <c r="F61" s="6"/>
      <c r="G61" s="6"/>
      <c r="H61" s="6"/>
      <c r="I61" s="6"/>
      <c r="J61" s="250"/>
      <c r="K61" s="250"/>
      <c r="L61" s="6"/>
      <c r="M61" s="250"/>
      <c r="N61" s="250"/>
      <c r="O61" s="260"/>
    </row>
    <row r="62" ht="14.25" customHeight="1">
      <c r="A62" s="5"/>
      <c r="B62" s="6"/>
      <c r="C62" s="6"/>
      <c r="D62" s="6"/>
      <c r="E62" s="6"/>
      <c r="F62" s="6"/>
      <c r="G62" s="6"/>
      <c r="H62" s="6"/>
      <c r="I62" s="6"/>
      <c r="J62" s="196"/>
      <c r="K62" s="274"/>
      <c r="L62" s="6"/>
      <c r="M62" s="250"/>
      <c r="N62" s="250"/>
      <c r="O62" s="196"/>
    </row>
    <row r="63" ht="14.25" customHeight="1">
      <c r="A63" s="5"/>
      <c r="B63" s="6"/>
      <c r="C63" s="6"/>
      <c r="D63" s="6"/>
      <c r="E63" s="6"/>
      <c r="F63" s="6"/>
      <c r="G63" s="6"/>
      <c r="H63" s="6"/>
      <c r="I63" s="6"/>
      <c r="J63" s="196"/>
      <c r="K63" s="274"/>
      <c r="L63" s="6"/>
      <c r="M63" s="250"/>
      <c r="N63" s="250"/>
      <c r="O63" s="250"/>
    </row>
    <row r="64" ht="14.25" customHeight="1">
      <c r="A64" s="5"/>
      <c r="B64" s="6"/>
      <c r="C64" s="6"/>
      <c r="D64" s="6"/>
      <c r="E64" s="6"/>
      <c r="F64" s="6"/>
      <c r="G64" s="6"/>
      <c r="H64" s="6"/>
      <c r="I64" s="6"/>
      <c r="J64" s="250"/>
      <c r="K64" s="250"/>
      <c r="L64" s="6"/>
      <c r="M64" s="250"/>
      <c r="N64" s="250"/>
      <c r="O64" s="250"/>
    </row>
    <row r="65" ht="14.25" customHeight="1">
      <c r="A65" s="5"/>
      <c r="B65" s="6"/>
      <c r="C65" s="6"/>
      <c r="D65" s="6"/>
      <c r="E65" s="6"/>
      <c r="F65" s="6"/>
      <c r="G65" s="6"/>
      <c r="H65" s="6"/>
      <c r="I65" s="6"/>
      <c r="J65" s="171" t="s">
        <v>453</v>
      </c>
      <c r="K65" s="70"/>
      <c r="L65" s="44" t="s">
        <v>3</v>
      </c>
      <c r="M65" s="250"/>
      <c r="N65" s="250"/>
      <c r="O65" s="250"/>
    </row>
    <row r="66" ht="14.25" customHeight="1">
      <c r="I66" s="6"/>
      <c r="J66" s="71" t="s">
        <v>42</v>
      </c>
      <c r="K66" s="29"/>
      <c r="L66" s="72"/>
      <c r="M66" s="263"/>
      <c r="N66" s="250"/>
      <c r="O66" s="250"/>
    </row>
    <row r="67" ht="14.25" customHeight="1">
      <c r="I67" s="6"/>
      <c r="J67" s="17"/>
      <c r="K67" s="4"/>
      <c r="L67" s="191">
        <v>169000.0</v>
      </c>
      <c r="M67" s="263"/>
      <c r="N67" s="250"/>
      <c r="O67" s="250"/>
    </row>
    <row r="68" ht="14.25" customHeight="1">
      <c r="I68" s="6"/>
      <c r="J68" s="5"/>
      <c r="K68" s="6"/>
      <c r="L68" s="172">
        <v>10000.0</v>
      </c>
      <c r="M68" s="250"/>
      <c r="N68" s="250"/>
      <c r="O68" s="250"/>
    </row>
    <row r="69" ht="14.25" customHeight="1">
      <c r="I69" s="6"/>
      <c r="J69" s="275" t="s">
        <v>435</v>
      </c>
      <c r="L69" s="172">
        <v>4000.0</v>
      </c>
      <c r="M69" s="250"/>
      <c r="N69" s="250"/>
      <c r="O69" s="250"/>
    </row>
    <row r="70" ht="14.25" customHeight="1">
      <c r="I70" s="6"/>
      <c r="J70" s="5"/>
      <c r="K70" s="6"/>
      <c r="L70" s="172"/>
      <c r="M70" s="250"/>
      <c r="N70" s="250"/>
      <c r="O70" s="250"/>
    </row>
    <row r="71" ht="14.25" customHeight="1">
      <c r="I71" s="6"/>
      <c r="J71" s="5"/>
      <c r="K71" s="6"/>
      <c r="L71" s="172"/>
      <c r="M71" s="250"/>
      <c r="N71" s="250"/>
      <c r="O71" s="250"/>
    </row>
    <row r="72" ht="14.25" customHeight="1">
      <c r="I72" s="6"/>
      <c r="J72" s="5"/>
      <c r="K72" s="6"/>
      <c r="L72" s="183"/>
      <c r="M72" s="250"/>
      <c r="N72" s="250"/>
      <c r="O72" s="250"/>
    </row>
    <row r="73" ht="14.25" customHeight="1">
      <c r="I73" s="6"/>
      <c r="J73" s="5"/>
      <c r="K73" s="6"/>
      <c r="L73" s="183"/>
      <c r="M73" s="250"/>
      <c r="N73" s="250"/>
      <c r="O73" s="250"/>
    </row>
    <row r="74" ht="14.25" customHeight="1">
      <c r="I74" s="6"/>
      <c r="J74" s="5"/>
      <c r="K74" s="6"/>
      <c r="L74" s="172"/>
      <c r="M74" s="250"/>
      <c r="N74" s="250"/>
      <c r="O74" s="250"/>
    </row>
    <row r="75" ht="14.25" customHeight="1">
      <c r="I75" s="6"/>
      <c r="J75" s="73" t="s">
        <v>43</v>
      </c>
      <c r="K75" s="38"/>
      <c r="L75" s="68">
        <f>SUM(L67:L74)</f>
        <v>183000</v>
      </c>
      <c r="M75" s="250"/>
      <c r="N75" s="250"/>
      <c r="O75" s="250"/>
    </row>
    <row r="76" ht="14.25" customHeight="1">
      <c r="I76" s="6"/>
      <c r="K76" s="276" t="s">
        <v>227</v>
      </c>
      <c r="L76" s="276">
        <f>L75</f>
        <v>183000</v>
      </c>
      <c r="M76" s="250"/>
      <c r="N76" s="250"/>
      <c r="O76" s="250"/>
    </row>
    <row r="77" ht="14.25" customHeight="1">
      <c r="K77" s="131"/>
      <c r="L77" s="194"/>
      <c r="M77" s="250"/>
      <c r="N77" s="250"/>
      <c r="O77" s="250"/>
    </row>
    <row r="78" ht="14.25" customHeight="1"/>
    <row r="79" ht="14.25" customHeight="1">
      <c r="J79" s="171" t="s">
        <v>453</v>
      </c>
      <c r="K79" s="70"/>
      <c r="L79" s="44" t="s">
        <v>3</v>
      </c>
    </row>
    <row r="80" ht="14.25" customHeight="1">
      <c r="J80" s="287" t="s">
        <v>454</v>
      </c>
      <c r="K80" s="29"/>
      <c r="L80" s="72"/>
    </row>
    <row r="81" ht="14.25" customHeight="1">
      <c r="J81" s="17"/>
      <c r="K81" s="288" t="s">
        <v>455</v>
      </c>
      <c r="L81" s="191">
        <v>35000.0</v>
      </c>
      <c r="M81" s="200" t="s">
        <v>456</v>
      </c>
    </row>
    <row r="82" ht="14.25" customHeight="1">
      <c r="J82" s="5"/>
      <c r="K82" s="131" t="s">
        <v>457</v>
      </c>
      <c r="L82" s="172">
        <v>20000.0</v>
      </c>
    </row>
    <row r="83" ht="14.25" customHeight="1">
      <c r="J83" s="275"/>
      <c r="K83" s="131"/>
      <c r="L83" s="172">
        <v>5000.0</v>
      </c>
    </row>
    <row r="84" ht="14.25" customHeight="1">
      <c r="J84" s="5"/>
      <c r="K84" s="6"/>
      <c r="L84" s="172"/>
    </row>
    <row r="85" ht="14.25" customHeight="1">
      <c r="J85" s="5"/>
      <c r="K85" s="6"/>
      <c r="L85" s="172"/>
    </row>
    <row r="86" ht="14.25" customHeight="1">
      <c r="J86" s="5"/>
      <c r="K86" s="6"/>
      <c r="L86" s="183"/>
    </row>
    <row r="87" ht="14.25" customHeight="1">
      <c r="J87" s="5"/>
      <c r="K87" s="6"/>
      <c r="L87" s="183"/>
    </row>
    <row r="88" ht="14.25" customHeight="1">
      <c r="J88" s="5"/>
      <c r="K88" s="6"/>
      <c r="L88" s="172"/>
    </row>
    <row r="89" ht="14.25" customHeight="1">
      <c r="J89" s="289" t="s">
        <v>458</v>
      </c>
      <c r="K89" s="38"/>
      <c r="L89" s="68">
        <f>SUM(L81:L88)</f>
        <v>60000</v>
      </c>
    </row>
    <row r="90" ht="14.25" customHeight="1">
      <c r="K90" s="276"/>
      <c r="L90" s="276">
        <f>L89</f>
        <v>60000</v>
      </c>
    </row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9">
    <mergeCell ref="J20:L20"/>
    <mergeCell ref="J21:L21"/>
    <mergeCell ref="J22:L22"/>
    <mergeCell ref="J23:L23"/>
    <mergeCell ref="J24:L24"/>
    <mergeCell ref="J25:L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8:K38"/>
    <mergeCell ref="J39:K39"/>
    <mergeCell ref="B41:B42"/>
    <mergeCell ref="C41:D42"/>
    <mergeCell ref="J42:K42"/>
    <mergeCell ref="J48:K48"/>
    <mergeCell ref="J49:K49"/>
    <mergeCell ref="J50:L50"/>
    <mergeCell ref="J51:L51"/>
    <mergeCell ref="J52:L52"/>
    <mergeCell ref="J53:L53"/>
    <mergeCell ref="L55:M55"/>
    <mergeCell ref="J65:K65"/>
    <mergeCell ref="J66:L66"/>
    <mergeCell ref="J69:K69"/>
    <mergeCell ref="J75:K75"/>
    <mergeCell ref="J79:K79"/>
    <mergeCell ref="J80:L80"/>
    <mergeCell ref="J89:K89"/>
    <mergeCell ref="J40:K40"/>
    <mergeCell ref="J41:K41"/>
    <mergeCell ref="J43:K43"/>
    <mergeCell ref="J44:K44"/>
    <mergeCell ref="J45:K45"/>
    <mergeCell ref="J46:K46"/>
    <mergeCell ref="J47:K47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8:P38"/>
    <mergeCell ref="O39:P39"/>
    <mergeCell ref="O40:P40"/>
    <mergeCell ref="O41:P41"/>
    <mergeCell ref="O49:P49"/>
    <mergeCell ref="O50:Q50"/>
    <mergeCell ref="O51:Q51"/>
    <mergeCell ref="O52:Q52"/>
    <mergeCell ref="O53:Q53"/>
    <mergeCell ref="O55:P55"/>
    <mergeCell ref="O42:P42"/>
    <mergeCell ref="O43:P43"/>
    <mergeCell ref="O44:P44"/>
    <mergeCell ref="O45:P45"/>
    <mergeCell ref="O46:P46"/>
    <mergeCell ref="O47:P47"/>
    <mergeCell ref="O48:P48"/>
    <mergeCell ref="O8:P8"/>
    <mergeCell ref="O9:P9"/>
    <mergeCell ref="A1:F1"/>
    <mergeCell ref="J6:K6"/>
    <mergeCell ref="O6:P6"/>
    <mergeCell ref="J7:L7"/>
    <mergeCell ref="O7:Q7"/>
    <mergeCell ref="J8:K8"/>
    <mergeCell ref="J9:K9"/>
    <mergeCell ref="B14:C14"/>
    <mergeCell ref="B15:C15"/>
    <mergeCell ref="J10:K10"/>
    <mergeCell ref="O10:P10"/>
    <mergeCell ref="D11:D13"/>
    <mergeCell ref="J11:K11"/>
    <mergeCell ref="O11:P11"/>
    <mergeCell ref="J12:L12"/>
    <mergeCell ref="O14:P14"/>
    <mergeCell ref="J13:K13"/>
    <mergeCell ref="J14:K14"/>
    <mergeCell ref="J15:K15"/>
    <mergeCell ref="J16:K16"/>
    <mergeCell ref="J17:K17"/>
    <mergeCell ref="J18:K18"/>
    <mergeCell ref="J19:K19"/>
    <mergeCell ref="O12:Q12"/>
    <mergeCell ref="O13:P13"/>
    <mergeCell ref="O15:P15"/>
    <mergeCell ref="O16:P16"/>
    <mergeCell ref="O17:P17"/>
    <mergeCell ref="O18:P18"/>
    <mergeCell ref="O19:P19"/>
    <mergeCell ref="O20:Q20"/>
    <mergeCell ref="O21:Q21"/>
    <mergeCell ref="O22:Q22"/>
    <mergeCell ref="O23:Q23"/>
    <mergeCell ref="O24:P24"/>
    <mergeCell ref="O25:P25"/>
    <mergeCell ref="O26:P26"/>
  </mergeCells>
  <printOptions/>
  <pageMargins bottom="0.75" footer="0.0" header="0.0" left="0.7" right="0.7" top="0.75"/>
  <pageSetup orientation="landscape"/>
  <drawing r:id="rId1"/>
</worksheet>
</file>